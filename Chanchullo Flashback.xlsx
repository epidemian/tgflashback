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ntajes" sheetId="1" r:id="rId5"/>
    <sheet state="hidden" name="Puntajes2025" sheetId="2" r:id="rId6"/>
    <sheet state="visible" name="Tabla" sheetId="3" r:id="rId7"/>
    <sheet state="visible" name="Missing Se" sheetId="4" r:id="rId8"/>
    <sheet state="visible" name="Missing Mb" sheetId="5" r:id="rId9"/>
    <sheet state="visible" name="Missing Na" sheetId="6" r:id="rId10"/>
    <sheet state="visible" name="Missing Ra" sheetId="7" r:id="rId11"/>
    <sheet state="visible" name="Missing ²H" sheetId="8" r:id="rId12"/>
  </sheets>
  <definedNames>
    <definedName hidden="1" localSheetId="0" name="_xlnm._FilterDatabase">Puntajes!$A$1:$G$53</definedName>
    <definedName hidden="1" localSheetId="0" name="Z_D8C397EF_2C7B_4D92_9DC8_18B75C4E7B2E_.wvu.FilterData">Puntajes!$A$1:$G$53</definedName>
  </definedNames>
  <calcPr/>
  <customWorkbookViews>
    <customWorkbookView activeSheetId="0" maximized="1" windowHeight="0" windowWidth="0" guid="{D8C397EF-2C7B-4D92-9DC8-18B75C4E7B2E}" name="Todos los jugadores"/>
  </customWorkbookViews>
</workbook>
</file>

<file path=xl/sharedStrings.xml><?xml version="1.0" encoding="utf-8"?>
<sst xmlns="http://schemas.openxmlformats.org/spreadsheetml/2006/main" count="36" uniqueCount="16">
  <si>
    <t>Fecha</t>
  </si>
  <si>
    <t>+-------+-------+-------+-------+-------+------+------------+
| Fecha | Se    | Mb    | Na    | Ra    | ²H   | Ganador/es |
+-------+-------+-------+-------+-------+------+------------+
| 1     | 28    | 28    | 25    | 23    | 25   | Se,Mb      |
| 2     | 19    | 28    | 21    | 23    | 19   | Mb         |
| 3     | 25    | 28    | 22    | 24    | 21   | Mb         |
| 4     | 21    | 19    | 20    | 17    | 25   | ²H         |
| 5     | 28    | 28    | 22    | 19    | 25   | Se,Mb      |
| 6     | 21    | 21    | 17    | 19    | 22   | ²H         |
| 7     | 25    | 25    | 21    | 22    | 21   | Se,Mb      |
| 8     | 22    | 22    | 22    | 11    | 25   | ²H         |
| 9     | 22    | 21    | 19    | 22    | 22   | Se,Ra,²H   |
| 10    | 25    | 25    | 19    | 17    | 22   | Se,Mb      |
| 11    | 25    | 25    | 19    | 21    | 25   | Se,Mb,²H   |
| 12    | 25    | 25    | 20    | 19    | 20   | Se,Mb      |
| 13    | 25    | 20    | 22    | 22    | 28   | ²H         |
| 14    | 25    | 22    | 22    | 18    | 25   | Se,²H      |
| 15    | 19    | 20    | 17    | 25    | 18   | Ra         |
| 16    | 25    | 25    | 23    | 23    | 0    | Se,Mb      |
| 17    | 28    | 22    | 21    | 25    | 0    | Se         |
| 18    | 22    | 20    | 20    | 22    | 0    | Se,Ra      |
| 19    | 25    | 22    | 19    | 24    | 28   | ²H         |
| 20    | 24    | 21    | 25    | 22    | 0    | Na         |
| 21    | 21    | 19    | 26    | 22    | 0    | Na         |
| 22    | 21    | 28    | 24    | 21    | 28   | Mb,²H      |
| 23    | 17    | 25    | 15    | 23    | 25   | Mb,²H      |
| 24    | 28    | 22    | 16    | 25    | 0    | Se         |
| 25    | 25    | 28    | 25    | 25    | 0    | Mb         |
| 26    | 25    | 28    | 19    | 15    | 23   | Mb         |
| 27    | 28    | 28    | 15    | 19    | 25   | Se,Mb      |
| 28    | 25    | 22    | 0     | 24    | 0    | Se         |
| 29    | 25    | 22    | 0     | 17    | 24   | Se         |
| 30    | 22    | 21    | 0     | 20    | 25   | ²H         |
| 31    | 22    | 25    | 0     | 19    | 22   | Mb         |
| 32    | 25    | 24    | 0     | 26    | 25   | Ra         |
| 33    | 18    | 21    | 0     | 0     | 22   | ²H         |
| 34    | 22    | 0     | 0     | 20    | 0    | Se         |
+-------+-------+-------+-------+-------+------+------------+
| Sum   | 803   | 780   | 556   | 694   | 590  |            |
| Avg   | 23.62 | 23.64 | 20.59 | 21.03 | 23.6 |            |
+-------+-------+-------+-------+-------+------+------------+
+---------+-----------+
| Jugador | Victorias |
+---------+-----------+
| Se      | 16        |
| Mb      | 15        |
| ²H      | 12        |
| Ra      | 4         |
| Na      | 2         |
+---------+-----------+</t>
  </si>
  <si>
    <t>Se</t>
  </si>
  <si>
    <t>Mb</t>
  </si>
  <si>
    <t>Na</t>
  </si>
  <si>
    <t>Ra</t>
  </si>
  <si>
    <t>* **Mb**:
  * https://www.nytimes.com/interactive/2026/08/21/upshot/flashback.html
* **Na**:
  * https://www.nytimes.com/interactive/2026/07/10/upshot/flashback.html
  * https://www.nytimes.com/interactive/2026/07/17/upshot/flashback.html
  * https://www.nytimes.com/interactive/2026/07/24/upshot/flashback.html
  * https://www.nytimes.com/interactive/2026/07/31/upshot/flashback.html
  * https://www.nytimes.com/interactive/2026/08/07/upshot/flashback.html
  * https://www.nytimes.com/interactive/2026/08/14/upshot/flashback.html
  * https://www.nytimes.com/interactive/2026/08/21/upshot/flashback.html
* **Ra**:
  * https://www.nytimes.com/interactive/2026/08/14/upshot/flashback.html
* **²H**:
  * https://www.nytimes.com/interactive/2026/04/17/upshot/flashback.html
  * https://www.nytimes.com/interactive/2026/04/24/upshot/flashback.html
  * https://www.nytimes.com/interactive/2026/05/01/upshot/flashback.html
  * https://www.nytimes.com/interactive/2026/05/15/upshot/flashback.html
  * https://www.nytimes.com/interactive/2026/05/22/upshot/flashback.html
  * https://www.nytimes.com/interactive/2026/06/12/upshot/flashback.html
  * https://www.nytimes.com/interactive/2026/06/19/upshot/flashback.html
  * https://www.nytimes.com/interactive/2026/07/10/upshot/flashback.html
  * https://www.nytimes.com/interactive/2026/08/21/upshot/flashback.html</t>
  </si>
  <si>
    <t>²H</t>
  </si>
  <si>
    <t>Ganador/es</t>
  </si>
  <si>
    <t>Missing Se</t>
  </si>
  <si>
    <t>URL</t>
  </si>
  <si>
    <t>Missing URL</t>
  </si>
  <si>
    <t>Missing Mb</t>
  </si>
  <si>
    <t>Missing Na</t>
  </si>
  <si>
    <t>Missing Ra</t>
  </si>
  <si>
    <t>Missing ²H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</si>
</sst>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0" xfId="0" applyFont="1"/>
    <xf borderId="0" fillId="0" fontId="1" numFmtId="0" xfId="0" applyFont="1"/>
    <xf borderId="0" fillId="0" fontId="2" numFmtId="0" xfId="0" applyFon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</row>
    <row r="2">
      <c r="A2" s="1">
        <v>1.0</v>
      </c>
      <c r="B2" s="1">
        <v>28.0</v>
      </c>
      <c r="C2" s="1">
        <v>28.0</v>
      </c>
      <c r="D2" s="1">
        <v>25.0</v>
      </c>
      <c r="E2" s="1">
        <v>23.0</v>
      </c>
      <c r="F2" s="1">
        <v>25.0</v>
      </c>
      <c r="G2" s="1" t="str">
        <f>IFERROR(__xludf.DUMMYFUNCTION("JOIN("","", FILTER(B$1:F$1, B2:F2 = MAX(B2:F2)))"),"Se,Mb")</f>
        <v>Se,Mb</v>
      </c>
    </row>
    <row r="3">
      <c r="A3" s="4">
        <f t="shared" ref="A3:A14" si="1">A2+1</f>
        <v>2</v>
      </c>
      <c r="B3" s="1">
        <v>19.0</v>
      </c>
      <c r="C3" s="1">
        <v>28.0</v>
      </c>
      <c r="D3" s="1">
        <v>21.0</v>
      </c>
      <c r="E3" s="1">
        <v>23.0</v>
      </c>
      <c r="F3" s="1">
        <v>19.0</v>
      </c>
      <c r="G3" s="1" t="str">
        <f>IFERROR(__xludf.DUMMYFUNCTION("JOIN("","", FILTER(B$1:F$1, B3:F3 = MAX(B3:F3)))"),"Mb")</f>
        <v>Mb</v>
      </c>
    </row>
    <row r="4">
      <c r="A4" s="4">
        <f t="shared" si="1"/>
        <v>3</v>
      </c>
      <c r="B4" s="1">
        <v>25.0</v>
      </c>
      <c r="C4" s="1">
        <v>28.0</v>
      </c>
      <c r="D4" s="1">
        <v>22.0</v>
      </c>
      <c r="E4" s="1">
        <v>24.0</v>
      </c>
      <c r="F4" s="1">
        <v>21.0</v>
      </c>
      <c r="G4" s="1" t="str">
        <f>IFERROR(__xludf.DUMMYFUNCTION("JOIN("","", FILTER(B$1:F$1, B4:F4 = MAX(B4:F4)))"),"Mb")</f>
        <v>Mb</v>
      </c>
    </row>
    <row r="5">
      <c r="A5" s="4">
        <f t="shared" si="1"/>
        <v>4</v>
      </c>
      <c r="B5" s="1">
        <v>21.0</v>
      </c>
      <c r="C5" s="1">
        <v>19.0</v>
      </c>
      <c r="D5" s="1">
        <v>20.0</v>
      </c>
      <c r="E5" s="1">
        <v>17.0</v>
      </c>
      <c r="F5" s="1">
        <v>25.0</v>
      </c>
      <c r="G5" s="1" t="str">
        <f>IFERROR(__xludf.DUMMYFUNCTION("JOIN("","", FILTER(B$1:F$1, B5:F5 = MAX(B5:F5)))"),"²H")</f>
        <v>²H</v>
      </c>
    </row>
    <row r="6">
      <c r="A6" s="4">
        <f t="shared" si="1"/>
        <v>5</v>
      </c>
      <c r="B6" s="1">
        <v>28.0</v>
      </c>
      <c r="C6" s="1">
        <v>28.0</v>
      </c>
      <c r="D6" s="1">
        <v>22.0</v>
      </c>
      <c r="E6" s="1">
        <v>19.0</v>
      </c>
      <c r="F6" s="1">
        <v>25.0</v>
      </c>
      <c r="G6" s="1" t="str">
        <f>IFERROR(__xludf.DUMMYFUNCTION("JOIN("","", FILTER(B$1:F$1, B6:F6 = MAX(B6:F6)))"),"Se,Mb")</f>
        <v>Se,Mb</v>
      </c>
    </row>
    <row r="7">
      <c r="A7" s="4">
        <f t="shared" si="1"/>
        <v>6</v>
      </c>
      <c r="B7" s="1">
        <v>21.0</v>
      </c>
      <c r="C7" s="1">
        <v>21.0</v>
      </c>
      <c r="D7" s="1">
        <v>17.0</v>
      </c>
      <c r="E7" s="1">
        <v>19.0</v>
      </c>
      <c r="F7" s="1">
        <v>22.0</v>
      </c>
      <c r="G7" s="1" t="str">
        <f>IFERROR(__xludf.DUMMYFUNCTION("JOIN("","", FILTER(B$1:F$1, B7:F7 = MAX(B7:F7)))"),"²H")</f>
        <v>²H</v>
      </c>
    </row>
    <row r="8">
      <c r="A8" s="4">
        <f t="shared" si="1"/>
        <v>7</v>
      </c>
      <c r="B8" s="1">
        <v>25.0</v>
      </c>
      <c r="C8" s="1">
        <v>25.0</v>
      </c>
      <c r="D8" s="1">
        <v>21.0</v>
      </c>
      <c r="E8" s="1">
        <v>22.0</v>
      </c>
      <c r="F8" s="1">
        <v>21.0</v>
      </c>
      <c r="G8" s="1" t="str">
        <f>IFERROR(__xludf.DUMMYFUNCTION("JOIN("","", FILTER(B$1:F$1, B8:F8 = MAX(B8:F8)))"),"Se,Mb")</f>
        <v>Se,Mb</v>
      </c>
    </row>
    <row r="9">
      <c r="A9" s="4">
        <f t="shared" si="1"/>
        <v>8</v>
      </c>
      <c r="B9" s="1">
        <v>22.0</v>
      </c>
      <c r="C9" s="1">
        <v>22.0</v>
      </c>
      <c r="D9" s="1">
        <v>22.0</v>
      </c>
      <c r="E9" s="1">
        <v>11.0</v>
      </c>
      <c r="F9" s="1">
        <v>25.0</v>
      </c>
      <c r="G9" s="1" t="str">
        <f>IFERROR(__xludf.DUMMYFUNCTION("JOIN("","", FILTER(B$1:F$1, B9:F9 = MAX(B9:F9)))"),"²H")</f>
        <v>²H</v>
      </c>
    </row>
    <row r="10">
      <c r="A10" s="4">
        <f t="shared" si="1"/>
        <v>9</v>
      </c>
      <c r="B10" s="1">
        <v>22.0</v>
      </c>
      <c r="C10" s="1">
        <v>21.0</v>
      </c>
      <c r="D10" s="1">
        <v>19.0</v>
      </c>
      <c r="E10" s="1">
        <v>22.0</v>
      </c>
      <c r="F10" s="1">
        <v>22.0</v>
      </c>
      <c r="G10" s="1" t="str">
        <f>IFERROR(__xludf.DUMMYFUNCTION("JOIN("","", FILTER(B$1:F$1, B10:F10 = MAX(B10:F10)))"),"Se,Ra,²H")</f>
        <v>Se,Ra,²H</v>
      </c>
    </row>
    <row r="11">
      <c r="A11" s="4">
        <f t="shared" si="1"/>
        <v>10</v>
      </c>
      <c r="B11" s="1">
        <v>25.0</v>
      </c>
      <c r="C11" s="1">
        <v>25.0</v>
      </c>
      <c r="D11" s="1">
        <v>19.0</v>
      </c>
      <c r="E11" s="1">
        <v>17.0</v>
      </c>
      <c r="F11" s="1">
        <v>22.0</v>
      </c>
      <c r="G11" s="1" t="str">
        <f>IFERROR(__xludf.DUMMYFUNCTION("JOIN("","", FILTER(B$1:F$1, B11:F11 = MAX(B11:F11)))"),"Se,Mb")</f>
        <v>Se,Mb</v>
      </c>
    </row>
    <row r="12">
      <c r="A12" s="4">
        <f t="shared" si="1"/>
        <v>11</v>
      </c>
      <c r="B12" s="1">
        <v>25.0</v>
      </c>
      <c r="C12" s="1">
        <v>25.0</v>
      </c>
      <c r="D12" s="1">
        <v>19.0</v>
      </c>
      <c r="E12" s="1">
        <v>21.0</v>
      </c>
      <c r="F12" s="1">
        <v>25.0</v>
      </c>
      <c r="G12" s="1" t="str">
        <f>IFERROR(__xludf.DUMMYFUNCTION("JOIN("","", FILTER(B$1:F$1, B12:F12 = MAX(B12:F12)))"),"Se,Mb,²H")</f>
        <v>Se,Mb,²H</v>
      </c>
    </row>
    <row r="13">
      <c r="A13" s="4">
        <f t="shared" si="1"/>
        <v>12</v>
      </c>
      <c r="B13" s="1">
        <v>25.0</v>
      </c>
      <c r="C13" s="1">
        <v>25.0</v>
      </c>
      <c r="D13" s="1">
        <v>20.0</v>
      </c>
      <c r="E13" s="1">
        <v>19.0</v>
      </c>
      <c r="F13" s="1">
        <v>20.0</v>
      </c>
      <c r="G13" s="1" t="str">
        <f>IFERROR(__xludf.DUMMYFUNCTION("JOIN("","", FILTER(B$1:F$1, B13:F13 = MAX(B13:F13)))"),"Se,Mb")</f>
        <v>Se,Mb</v>
      </c>
    </row>
    <row r="14">
      <c r="A14" s="4">
        <f t="shared" si="1"/>
        <v>13</v>
      </c>
      <c r="B14" s="1">
        <v>25.0</v>
      </c>
      <c r="C14" s="1">
        <v>20.0</v>
      </c>
      <c r="D14" s="1">
        <v>22.0</v>
      </c>
      <c r="E14" s="1">
        <v>22.0</v>
      </c>
      <c r="F14" s="1">
        <v>28.0</v>
      </c>
      <c r="G14" s="1" t="str">
        <f>IFERROR(__xludf.DUMMYFUNCTION("JOIN("","", FILTER(B$1:F$1, B14:F14 = MAX(B14:F14)))"),"²H")</f>
        <v>²H</v>
      </c>
    </row>
    <row r="15">
      <c r="A15" s="1">
        <v>14.0</v>
      </c>
      <c r="B15" s="1">
        <v>25.0</v>
      </c>
      <c r="C15" s="1">
        <v>22.0</v>
      </c>
      <c r="D15" s="1">
        <v>22.0</v>
      </c>
      <c r="E15" s="1">
        <v>18.0</v>
      </c>
      <c r="F15" s="1">
        <v>25.0</v>
      </c>
      <c r="G15" s="1" t="str">
        <f>IFERROR(__xludf.DUMMYFUNCTION("JOIN("","", FILTER(B$1:F$1, B15:F15 = MAX(B15:F15)))"),"Se,²H")</f>
        <v>Se,²H</v>
      </c>
    </row>
    <row r="16">
      <c r="A16" s="1">
        <v>15.0</v>
      </c>
      <c r="B16" s="1">
        <v>19.0</v>
      </c>
      <c r="C16" s="1">
        <v>20.0</v>
      </c>
      <c r="D16" s="1">
        <v>17.0</v>
      </c>
      <c r="E16" s="1">
        <v>25.0</v>
      </c>
      <c r="F16" s="1">
        <v>18.0</v>
      </c>
      <c r="G16" s="1" t="str">
        <f>IFERROR(__xludf.DUMMYFUNCTION("JOIN("","", FILTER(B$1:F$1, B16:F16 = MAX(B16:F16)))"),"Ra")</f>
        <v>Ra</v>
      </c>
    </row>
    <row r="17">
      <c r="A17" s="4">
        <f t="shared" ref="A17:A22" si="2">A16+1</f>
        <v>16</v>
      </c>
      <c r="B17" s="1">
        <v>25.0</v>
      </c>
      <c r="C17" s="1">
        <v>25.0</v>
      </c>
      <c r="D17" s="1">
        <v>23.0</v>
      </c>
      <c r="E17" s="1">
        <v>23.0</v>
      </c>
      <c r="G17" s="1" t="str">
        <f>IFERROR(__xludf.DUMMYFUNCTION("JOIN("","", FILTER(B$1:F$1, B17:F17 = MAX(B17:F17)))"),"Se,Mb")</f>
        <v>Se,Mb</v>
      </c>
    </row>
    <row r="18">
      <c r="A18" s="4">
        <f t="shared" si="2"/>
        <v>17</v>
      </c>
      <c r="B18" s="1">
        <v>28.0</v>
      </c>
      <c r="C18" s="1">
        <v>22.0</v>
      </c>
      <c r="D18" s="1">
        <v>21.0</v>
      </c>
      <c r="E18" s="1">
        <v>25.0</v>
      </c>
      <c r="F18" s="1"/>
      <c r="G18" s="1" t="str">
        <f>IFERROR(__xludf.DUMMYFUNCTION("JOIN("","", FILTER(B$1:F$1, B18:F18 = MAX(B18:F18)))"),"Se")</f>
        <v>Se</v>
      </c>
    </row>
    <row r="19">
      <c r="A19" s="4">
        <f t="shared" si="2"/>
        <v>18</v>
      </c>
      <c r="B19" s="1">
        <v>22.0</v>
      </c>
      <c r="C19" s="1">
        <v>20.0</v>
      </c>
      <c r="D19" s="1">
        <v>20.0</v>
      </c>
      <c r="E19" s="1">
        <v>22.0</v>
      </c>
      <c r="G19" s="1" t="str">
        <f>IFERROR(__xludf.DUMMYFUNCTION("JOIN("","", FILTER(B$1:F$1, B19:F19 = MAX(B19:F19)))"),"Se,Ra")</f>
        <v>Se,Ra</v>
      </c>
    </row>
    <row r="20">
      <c r="A20" s="4">
        <f t="shared" si="2"/>
        <v>19</v>
      </c>
      <c r="B20" s="1">
        <v>25.0</v>
      </c>
      <c r="C20" s="1">
        <v>22.0</v>
      </c>
      <c r="D20" s="1">
        <v>19.0</v>
      </c>
      <c r="E20" s="1">
        <v>24.0</v>
      </c>
      <c r="F20" s="1">
        <v>28.0</v>
      </c>
      <c r="G20" s="1" t="str">
        <f>IFERROR(__xludf.DUMMYFUNCTION("JOIN("","", FILTER(B$1:F$1, B20:F20 = MAX(B20:F20)))"),"²H")</f>
        <v>²H</v>
      </c>
    </row>
    <row r="21">
      <c r="A21" s="4">
        <f t="shared" si="2"/>
        <v>20</v>
      </c>
      <c r="B21" s="1">
        <v>24.0</v>
      </c>
      <c r="C21" s="1">
        <v>21.0</v>
      </c>
      <c r="D21" s="1">
        <v>25.0</v>
      </c>
      <c r="E21" s="1">
        <v>22.0</v>
      </c>
      <c r="G21" s="1" t="str">
        <f>IFERROR(__xludf.DUMMYFUNCTION("JOIN("","", FILTER(B$1:F$1, B21:F21 = MAX(B21:F21)))"),"Na")</f>
        <v>Na</v>
      </c>
    </row>
    <row r="22">
      <c r="A22" s="4">
        <f t="shared" si="2"/>
        <v>21</v>
      </c>
      <c r="B22" s="1">
        <v>21.0</v>
      </c>
      <c r="C22" s="1">
        <v>19.0</v>
      </c>
      <c r="D22" s="1">
        <v>26.0</v>
      </c>
      <c r="E22" s="1">
        <v>22.0</v>
      </c>
      <c r="F22" s="1"/>
      <c r="G22" s="1" t="str">
        <f>IFERROR(__xludf.DUMMYFUNCTION("JOIN("","", FILTER(B$1:F$1, B22:F22 = MAX(B22:F22)))"),"Na")</f>
        <v>Na</v>
      </c>
    </row>
    <row r="23">
      <c r="A23" s="1">
        <v>22.0</v>
      </c>
      <c r="B23" s="1">
        <v>21.0</v>
      </c>
      <c r="C23" s="1">
        <v>28.0</v>
      </c>
      <c r="D23" s="1">
        <v>24.0</v>
      </c>
      <c r="E23" s="1">
        <v>21.0</v>
      </c>
      <c r="F23" s="1">
        <v>28.0</v>
      </c>
      <c r="G23" s="1" t="str">
        <f>IFERROR(__xludf.DUMMYFUNCTION("JOIN("","", FILTER(B$1:F$1, B23:F23 = MAX(B23:F23)))"),"Mb,²H")</f>
        <v>Mb,²H</v>
      </c>
    </row>
    <row r="24">
      <c r="A24" s="4">
        <f t="shared" ref="A24:A27" si="3">A23+1</f>
        <v>23</v>
      </c>
      <c r="B24" s="1">
        <v>17.0</v>
      </c>
      <c r="C24" s="1">
        <v>25.0</v>
      </c>
      <c r="D24" s="1">
        <v>15.0</v>
      </c>
      <c r="E24" s="1">
        <v>23.0</v>
      </c>
      <c r="F24" s="1">
        <v>25.0</v>
      </c>
      <c r="G24" s="1" t="str">
        <f>IFERROR(__xludf.DUMMYFUNCTION("JOIN("","", FILTER(B$1:F$1, B24:F24 = MAX(B24:F24)))"),"Mb,²H")</f>
        <v>Mb,²H</v>
      </c>
    </row>
    <row r="25">
      <c r="A25" s="4">
        <f t="shared" si="3"/>
        <v>24</v>
      </c>
      <c r="B25" s="1">
        <v>28.0</v>
      </c>
      <c r="C25" s="1">
        <v>22.0</v>
      </c>
      <c r="D25" s="1">
        <v>16.0</v>
      </c>
      <c r="E25" s="1">
        <v>25.0</v>
      </c>
      <c r="F25" s="1"/>
      <c r="G25" s="1" t="str">
        <f>IFERROR(__xludf.DUMMYFUNCTION("JOIN("","", FILTER(B$1:F$1, B25:F25 = MAX(B25:F25)))"),"Se")</f>
        <v>Se</v>
      </c>
    </row>
    <row r="26">
      <c r="A26" s="4">
        <f t="shared" si="3"/>
        <v>25</v>
      </c>
      <c r="B26" s="1">
        <v>25.0</v>
      </c>
      <c r="C26" s="1">
        <v>28.0</v>
      </c>
      <c r="D26" s="1">
        <v>25.0</v>
      </c>
      <c r="E26" s="1">
        <v>25.0</v>
      </c>
      <c r="F26" s="1"/>
      <c r="G26" s="1" t="str">
        <f>IFERROR(__xludf.DUMMYFUNCTION("JOIN("","", FILTER(B$1:F$1, B26:F26 = MAX(B26:F26)))"),"Mb")</f>
        <v>Mb</v>
      </c>
    </row>
    <row r="27">
      <c r="A27" s="4">
        <f t="shared" si="3"/>
        <v>26</v>
      </c>
      <c r="B27" s="1">
        <v>25.0</v>
      </c>
      <c r="C27" s="1">
        <v>28.0</v>
      </c>
      <c r="D27" s="1">
        <v>19.0</v>
      </c>
      <c r="E27" s="1">
        <v>15.0</v>
      </c>
      <c r="F27" s="1">
        <v>23.0</v>
      </c>
      <c r="G27" s="1" t="str">
        <f>IFERROR(__xludf.DUMMYFUNCTION("JOIN("","", FILTER(B$1:F$1, B27:F27 = MAX(B27:F27)))"),"Mb")</f>
        <v>Mb</v>
      </c>
    </row>
    <row r="28">
      <c r="A28" s="1">
        <f t="shared" ref="A28:A53" si="4">A27+1</f>
        <v>27</v>
      </c>
      <c r="B28" s="1">
        <v>28.0</v>
      </c>
      <c r="C28" s="1">
        <v>28.0</v>
      </c>
      <c r="D28" s="1">
        <v>15.0</v>
      </c>
      <c r="E28" s="1">
        <v>19.0</v>
      </c>
      <c r="F28" s="1">
        <v>25.0</v>
      </c>
      <c r="G28" s="1" t="str">
        <f>IFERROR(__xludf.DUMMYFUNCTION("JOIN("","", FILTER(B$1:F$1, B28:F28 = MAX(B28:F28)))"),"Se,Mb")</f>
        <v>Se,Mb</v>
      </c>
    </row>
    <row r="29">
      <c r="A29" s="1">
        <f t="shared" si="4"/>
        <v>28</v>
      </c>
      <c r="B29" s="1">
        <v>25.0</v>
      </c>
      <c r="C29" s="1">
        <v>22.0</v>
      </c>
      <c r="D29" s="1"/>
      <c r="E29" s="1">
        <v>24.0</v>
      </c>
      <c r="F29" s="1"/>
      <c r="G29" s="1" t="str">
        <f>IFERROR(__xludf.DUMMYFUNCTION("JOIN("","", FILTER(B$1:F$1, B29:F29 = MAX(B29:F29)))"),"Se")</f>
        <v>Se</v>
      </c>
    </row>
    <row r="30">
      <c r="A30" s="1">
        <f t="shared" si="4"/>
        <v>29</v>
      </c>
      <c r="B30" s="1">
        <v>25.0</v>
      </c>
      <c r="C30" s="1">
        <v>22.0</v>
      </c>
      <c r="D30" s="1"/>
      <c r="E30" s="1">
        <v>17.0</v>
      </c>
      <c r="F30" s="1">
        <v>24.0</v>
      </c>
      <c r="G30" s="1" t="str">
        <f>IFERROR(__xludf.DUMMYFUNCTION("JOIN("","", FILTER(B$1:F$1, B30:F30 = MAX(B30:F30)))"),"Se")</f>
        <v>Se</v>
      </c>
    </row>
    <row r="31">
      <c r="A31" s="1">
        <f t="shared" si="4"/>
        <v>30</v>
      </c>
      <c r="B31" s="1">
        <v>22.0</v>
      </c>
      <c r="C31" s="1">
        <v>21.0</v>
      </c>
      <c r="D31" s="1"/>
      <c r="E31" s="1">
        <v>20.0</v>
      </c>
      <c r="F31" s="1">
        <v>25.0</v>
      </c>
      <c r="G31" s="1" t="str">
        <f>IFERROR(__xludf.DUMMYFUNCTION("JOIN("","", FILTER(B$1:F$1, B31:F31 = MAX(B31:F31)))"),"²H")</f>
        <v>²H</v>
      </c>
    </row>
    <row r="32">
      <c r="A32" s="1">
        <f t="shared" si="4"/>
        <v>31</v>
      </c>
      <c r="B32" s="1">
        <v>22.0</v>
      </c>
      <c r="C32" s="1">
        <v>25.0</v>
      </c>
      <c r="D32" s="1"/>
      <c r="E32" s="1">
        <v>19.0</v>
      </c>
      <c r="F32" s="1">
        <v>22.0</v>
      </c>
      <c r="G32" s="1" t="str">
        <f>IFERROR(__xludf.DUMMYFUNCTION("JOIN("","", FILTER(B$1:F$1, B32:F32 = MAX(B32:F32)))"),"Mb")</f>
        <v>Mb</v>
      </c>
    </row>
    <row r="33">
      <c r="A33" s="1">
        <f t="shared" si="4"/>
        <v>32</v>
      </c>
      <c r="B33" s="1">
        <v>25.0</v>
      </c>
      <c r="C33" s="1">
        <v>24.0</v>
      </c>
      <c r="D33" s="1"/>
      <c r="E33" s="1">
        <v>26.0</v>
      </c>
      <c r="F33" s="1">
        <v>25.0</v>
      </c>
      <c r="G33" s="1" t="str">
        <f>IFERROR(__xludf.DUMMYFUNCTION("JOIN("","", FILTER(B$1:F$1, B33:F33 = MAX(B33:F33)))"),"Ra")</f>
        <v>Ra</v>
      </c>
    </row>
    <row r="34">
      <c r="A34" s="1">
        <f t="shared" si="4"/>
        <v>33</v>
      </c>
      <c r="B34" s="1">
        <v>18.0</v>
      </c>
      <c r="C34" s="1">
        <v>21.0</v>
      </c>
      <c r="D34" s="1"/>
      <c r="E34" s="1"/>
      <c r="F34" s="1">
        <v>22.0</v>
      </c>
      <c r="G34" s="1" t="str">
        <f>IFERROR(__xludf.DUMMYFUNCTION("JOIN("","", FILTER(B$1:F$1, B34:F34 = MAX(B34:F34)))"),"²H")</f>
        <v>²H</v>
      </c>
    </row>
    <row r="35">
      <c r="A35" s="1">
        <f t="shared" si="4"/>
        <v>34</v>
      </c>
      <c r="B35" s="1">
        <v>22.0</v>
      </c>
      <c r="C35" s="1"/>
      <c r="D35" s="1"/>
      <c r="E35" s="1">
        <v>20.0</v>
      </c>
      <c r="F35" s="1"/>
      <c r="G35" s="1" t="str">
        <f>IFERROR(__xludf.DUMMYFUNCTION("JOIN("","", FILTER(B$1:F$1, B35:F35 = MAX(B35:F35)))"),"Se")</f>
        <v>Se</v>
      </c>
    </row>
    <row r="36">
      <c r="A36" s="1">
        <f t="shared" si="4"/>
        <v>35</v>
      </c>
      <c r="B36" s="1"/>
      <c r="C36" s="1"/>
      <c r="D36" s="1"/>
      <c r="E36" s="1"/>
      <c r="F36" s="1"/>
      <c r="G36" s="1" t="str">
        <f>IFERROR(__xludf.DUMMYFUNCTION("JOIN("","", FILTER(B$1:F$1, B36:F36 = MAX(B36:F36)))"),"Se,Mb,Na,Ra,²H")</f>
        <v>Se,Mb,Na,Ra,²H</v>
      </c>
    </row>
    <row r="37">
      <c r="A37" s="1">
        <f t="shared" si="4"/>
        <v>36</v>
      </c>
      <c r="B37" s="1"/>
      <c r="C37" s="1"/>
      <c r="D37" s="1"/>
      <c r="E37" s="1"/>
      <c r="F37" s="1"/>
      <c r="G37" s="1" t="str">
        <f>IFERROR(__xludf.DUMMYFUNCTION("JOIN("","", FILTER(B$1:F$1, B37:F37 = MAX(B37:F37)))"),"Se,Mb,Na,Ra,²H")</f>
        <v>Se,Mb,Na,Ra,²H</v>
      </c>
    </row>
    <row r="38">
      <c r="A38" s="1">
        <f t="shared" si="4"/>
        <v>37</v>
      </c>
      <c r="B38" s="1"/>
      <c r="C38" s="1"/>
      <c r="D38" s="1"/>
      <c r="E38" s="1"/>
      <c r="F38" s="1"/>
      <c r="G38" s="1" t="str">
        <f>IFERROR(__xludf.DUMMYFUNCTION("JOIN("","", FILTER(B$1:F$1, B38:F38 = MAX(B38:F38)))"),"Se,Mb,Na,Ra,²H")</f>
        <v>Se,Mb,Na,Ra,²H</v>
      </c>
    </row>
    <row r="39">
      <c r="A39" s="1">
        <f t="shared" si="4"/>
        <v>38</v>
      </c>
      <c r="B39" s="1"/>
      <c r="C39" s="1"/>
      <c r="D39" s="1"/>
      <c r="E39" s="1"/>
      <c r="F39" s="1"/>
      <c r="G39" s="1" t="str">
        <f>IFERROR(__xludf.DUMMYFUNCTION("JOIN("","", FILTER(B$1:F$1, B39:F39 = MAX(B39:F39)))"),"Se,Mb,Na,Ra,²H")</f>
        <v>Se,Mb,Na,Ra,²H</v>
      </c>
    </row>
    <row r="40">
      <c r="A40" s="1">
        <f t="shared" si="4"/>
        <v>39</v>
      </c>
      <c r="B40" s="1"/>
      <c r="C40" s="1"/>
      <c r="D40" s="1"/>
      <c r="E40" s="1"/>
      <c r="F40" s="1"/>
      <c r="G40" s="1" t="str">
        <f>IFERROR(__xludf.DUMMYFUNCTION("JOIN("","", FILTER(B$1:F$1, B40:F40 = MAX(B40:F40)))"),"Se,Mb,Na,Ra,²H")</f>
        <v>Se,Mb,Na,Ra,²H</v>
      </c>
    </row>
    <row r="41">
      <c r="A41" s="1">
        <f t="shared" si="4"/>
        <v>40</v>
      </c>
      <c r="B41" s="1"/>
      <c r="C41" s="1"/>
      <c r="D41" s="1"/>
      <c r="E41" s="1"/>
      <c r="F41" s="1"/>
      <c r="G41" s="1" t="str">
        <f>IFERROR(__xludf.DUMMYFUNCTION("JOIN("","", FILTER(B$1:F$1, B41:F41 = MAX(B41:F41)))"),"Se,Mb,Na,Ra,²H")</f>
        <v>Se,Mb,Na,Ra,²H</v>
      </c>
    </row>
    <row r="42">
      <c r="A42" s="1">
        <f t="shared" si="4"/>
        <v>41</v>
      </c>
      <c r="B42" s="1"/>
      <c r="C42" s="1"/>
      <c r="D42" s="1"/>
      <c r="E42" s="1"/>
      <c r="F42" s="1"/>
      <c r="G42" s="1" t="str">
        <f>IFERROR(__xludf.DUMMYFUNCTION("JOIN("","", FILTER(B$1:F$1, B42:F42 = MAX(B42:F42)))"),"Se,Mb,Na,Ra,²H")</f>
        <v>Se,Mb,Na,Ra,²H</v>
      </c>
    </row>
    <row r="43">
      <c r="A43" s="1">
        <f t="shared" si="4"/>
        <v>42</v>
      </c>
      <c r="B43" s="1"/>
      <c r="C43" s="1"/>
      <c r="D43" s="1"/>
      <c r="E43" s="1"/>
      <c r="F43" s="1"/>
      <c r="G43" s="1" t="str">
        <f>IFERROR(__xludf.DUMMYFUNCTION("JOIN("","", FILTER(B$1:F$1, B43:F43 = MAX(B43:F43)))"),"Se,Mb,Na,Ra,²H")</f>
        <v>Se,Mb,Na,Ra,²H</v>
      </c>
    </row>
    <row r="44">
      <c r="A44" s="1">
        <f t="shared" si="4"/>
        <v>43</v>
      </c>
      <c r="B44" s="1"/>
      <c r="C44" s="1"/>
      <c r="D44" s="1"/>
      <c r="E44" s="1"/>
      <c r="F44" s="1"/>
      <c r="G44" s="1" t="str">
        <f>IFERROR(__xludf.DUMMYFUNCTION("JOIN("","", FILTER(B$1:F$1, B44:F44 = MAX(B44:F44)))"),"Se,Mb,Na,Ra,²H")</f>
        <v>Se,Mb,Na,Ra,²H</v>
      </c>
    </row>
    <row r="45">
      <c r="A45" s="1">
        <f t="shared" si="4"/>
        <v>44</v>
      </c>
      <c r="B45" s="1"/>
      <c r="C45" s="1"/>
      <c r="D45" s="1"/>
      <c r="E45" s="1"/>
      <c r="F45" s="1"/>
      <c r="G45" s="1" t="str">
        <f>IFERROR(__xludf.DUMMYFUNCTION("JOIN("","", FILTER(B$1:F$1, B45:F45 = MAX(B45:F45)))"),"Se,Mb,Na,Ra,²H")</f>
        <v>Se,Mb,Na,Ra,²H</v>
      </c>
    </row>
    <row r="46">
      <c r="A46" s="1">
        <f t="shared" si="4"/>
        <v>45</v>
      </c>
      <c r="B46" s="1"/>
      <c r="C46" s="1"/>
      <c r="D46" s="1"/>
      <c r="E46" s="1"/>
      <c r="F46" s="1"/>
      <c r="G46" s="1" t="str">
        <f>IFERROR(__xludf.DUMMYFUNCTION("JOIN("","", FILTER(B$1:F$1, B46:F46 = MAX(B46:F46)))"),"Se,Mb,Na,Ra,²H")</f>
        <v>Se,Mb,Na,Ra,²H</v>
      </c>
    </row>
    <row r="47">
      <c r="A47" s="1">
        <f t="shared" si="4"/>
        <v>46</v>
      </c>
      <c r="B47" s="1"/>
      <c r="C47" s="1"/>
      <c r="D47" s="1"/>
      <c r="E47" s="1"/>
      <c r="F47" s="1"/>
      <c r="G47" s="1" t="str">
        <f>IFERROR(__xludf.DUMMYFUNCTION("JOIN("","", FILTER(B$1:F$1, B47:F47 = MAX(B47:F47)))"),"Se,Mb,Na,Ra,²H")</f>
        <v>Se,Mb,Na,Ra,²H</v>
      </c>
    </row>
    <row r="48">
      <c r="A48" s="1">
        <f t="shared" si="4"/>
        <v>47</v>
      </c>
      <c r="B48" s="1"/>
      <c r="C48" s="1"/>
      <c r="D48" s="1"/>
      <c r="E48" s="1"/>
      <c r="F48" s="1"/>
      <c r="G48" s="1" t="str">
        <f>IFERROR(__xludf.DUMMYFUNCTION("JOIN("","", FILTER(B$1:F$1, B48:F48 = MAX(B48:F48)))"),"Se,Mb,Na,Ra,²H")</f>
        <v>Se,Mb,Na,Ra,²H</v>
      </c>
    </row>
    <row r="49">
      <c r="A49" s="1">
        <f t="shared" si="4"/>
        <v>48</v>
      </c>
      <c r="B49" s="1"/>
      <c r="C49" s="1"/>
      <c r="D49" s="1"/>
      <c r="E49" s="1"/>
      <c r="F49" s="1"/>
      <c r="G49" s="1" t="str">
        <f>IFERROR(__xludf.DUMMYFUNCTION("JOIN("","", FILTER(B$1:F$1, B49:F49 = MAX(B49:F49)))"),"Se,Mb,Na,Ra,²H")</f>
        <v>Se,Mb,Na,Ra,²H</v>
      </c>
    </row>
    <row r="50">
      <c r="A50" s="1">
        <f t="shared" si="4"/>
        <v>49</v>
      </c>
      <c r="B50" s="1"/>
      <c r="C50" s="1"/>
      <c r="D50" s="1"/>
      <c r="E50" s="1"/>
      <c r="F50" s="1"/>
      <c r="G50" s="1" t="str">
        <f>IFERROR(__xludf.DUMMYFUNCTION("JOIN("","", FILTER(B$1:F$1, B50:F50 = MAX(B50:F50)))"),"Se,Mb,Na,Ra,²H")</f>
        <v>Se,Mb,Na,Ra,²H</v>
      </c>
    </row>
    <row r="51">
      <c r="A51" s="1">
        <f t="shared" si="4"/>
        <v>50</v>
      </c>
      <c r="B51" s="1"/>
      <c r="C51" s="1"/>
      <c r="D51" s="1"/>
      <c r="E51" s="1"/>
      <c r="F51" s="1"/>
      <c r="G51" s="1" t="str">
        <f>IFERROR(__xludf.DUMMYFUNCTION("JOIN("","", FILTER(B$1:F$1, B51:F51 = MAX(B51:F51)))"),"Se,Mb,Na,Ra,²H")</f>
        <v>Se,Mb,Na,Ra,²H</v>
      </c>
    </row>
    <row r="52">
      <c r="A52" s="1">
        <f t="shared" si="4"/>
        <v>51</v>
      </c>
      <c r="B52" s="1"/>
      <c r="C52" s="1"/>
      <c r="D52" s="1"/>
      <c r="E52" s="1"/>
      <c r="F52" s="1"/>
      <c r="G52" s="1" t="str">
        <f>IFERROR(__xludf.DUMMYFUNCTION("JOIN("","", FILTER(B$1:F$1, B52:F52 = MAX(B52:F52)))"),"Se,Mb,Na,Ra,²H")</f>
        <v>Se,Mb,Na,Ra,²H</v>
      </c>
    </row>
    <row r="53">
      <c r="A53" s="1">
        <f t="shared" si="4"/>
        <v>52</v>
      </c>
      <c r="B53" s="1"/>
      <c r="C53" s="1"/>
      <c r="D53" s="1"/>
      <c r="E53" s="1"/>
      <c r="F53" s="1"/>
      <c r="G53" s="1" t="str">
        <f>IFERROR(__xludf.DUMMYFUNCTION("JOIN("","", FILTER(B$1:F$1, B53:F53 = MAX(B53:F53)))"),"Se,Mb,Na,Ra,²H")</f>
        <v>Se,Mb,Na,Ra,²H</v>
      </c>
    </row>
  </sheetData>
  <autoFilter ref="$A$1:$G$53"/>
  <customSheetViews>
    <customSheetView guid="{D8C397EF-2C7B-4D92-9DC8-18B75C4E7B2E}" filter="1" showAutoFilter="1">
      <autoFilter ref="$A$1:$G$53">
        <filterColumn colId="4">
          <filters>
            <filter val="22"/>
            <filter val="11"/>
            <filter val="23"/>
            <filter val="24"/>
            <filter val="25"/>
            <filter val="15"/>
            <filter val="26"/>
            <filter val="17"/>
            <filter val="18"/>
            <filter val="19"/>
            <filter val="20"/>
            <filter val="21"/>
          </filters>
        </filterColumn>
        <filterColumn colId="5">
          <filters>
            <filter val="22"/>
            <filter val="23"/>
            <filter val="24"/>
            <filter val="25"/>
            <filter val="28"/>
            <filter val="18"/>
            <filter val="19"/>
            <filter val="20"/>
            <filter val="21"/>
          </filters>
        </filterColumn>
        <filterColumn colId="3">
          <filters>
            <filter val="22"/>
            <filter val="23"/>
            <filter val="24"/>
            <filter val="25"/>
            <filter val="26"/>
            <filter val="15"/>
            <filter val="16"/>
            <filter val="17"/>
            <filter val="19"/>
            <filter val="20"/>
            <filter val="21"/>
          </filters>
        </filterColumn>
        <filterColumn colId="2">
          <filters>
            <filter val="22"/>
            <filter val="24"/>
            <filter val="25"/>
            <filter val="28"/>
            <filter val="19"/>
            <filter val="20"/>
            <filter val="21"/>
          </filters>
        </filterColumn>
        <filterColumn colId="1">
          <filters>
            <filter val="22"/>
            <filter val="24"/>
            <filter val="25"/>
            <filter val="28"/>
            <filter val="17"/>
            <filter val="18"/>
            <filter val="19"/>
            <filter val="21"/>
          </filters>
        </filterColumn>
      </autoFilter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</row>
    <row r="2">
      <c r="A2" s="1">
        <v>1.0</v>
      </c>
      <c r="B2" s="1">
        <v>24.0</v>
      </c>
      <c r="C2" s="1">
        <v>16.0</v>
      </c>
      <c r="D2" s="1">
        <v>21.0</v>
      </c>
      <c r="E2" s="1">
        <v>22.0</v>
      </c>
      <c r="F2" s="1">
        <v>24.0</v>
      </c>
      <c r="G2" s="1" t="str">
        <f>IFERROR(__xludf.DUMMYFUNCTION("JOIN("","", FILTER(B$1:F$1, B2:F2 = MAX(B2:F2)))"),"Se,²H")</f>
        <v>Se,²H</v>
      </c>
    </row>
    <row r="3">
      <c r="A3" s="5">
        <f t="shared" ref="A3:A14" si="1">A2+1</f>
        <v>2</v>
      </c>
      <c r="B3" s="1">
        <v>22.0</v>
      </c>
      <c r="C3" s="1">
        <v>24.0</v>
      </c>
      <c r="D3" s="1">
        <v>15.0</v>
      </c>
      <c r="E3" s="1">
        <v>22.0</v>
      </c>
      <c r="F3" s="1">
        <v>21.0</v>
      </c>
      <c r="G3" s="1" t="str">
        <f>IFERROR(__xludf.DUMMYFUNCTION("JOIN("","", FILTER(B$1:F$1, B3:F3 = MAX(B3:F3)))"),"Mb")</f>
        <v>Mb</v>
      </c>
    </row>
    <row r="4">
      <c r="A4" s="4">
        <f t="shared" si="1"/>
        <v>3</v>
      </c>
      <c r="B4" s="1">
        <v>23.0</v>
      </c>
      <c r="C4" s="1">
        <v>16.0</v>
      </c>
      <c r="D4" s="1">
        <v>12.0</v>
      </c>
      <c r="E4" s="1">
        <v>13.0</v>
      </c>
      <c r="F4" s="1">
        <v>25.0</v>
      </c>
      <c r="G4" s="1" t="str">
        <f>IFERROR(__xludf.DUMMYFUNCTION("JOIN("","", FILTER(B$1:F$1, B4:F4 = MAX(B4:F4)))"),"²H")</f>
        <v>²H</v>
      </c>
    </row>
    <row r="5">
      <c r="A5" s="4">
        <f t="shared" si="1"/>
        <v>4</v>
      </c>
      <c r="B5" s="1">
        <v>25.0</v>
      </c>
      <c r="C5" s="1">
        <v>23.0</v>
      </c>
      <c r="D5" s="1">
        <v>25.0</v>
      </c>
      <c r="E5" s="1">
        <v>14.0</v>
      </c>
      <c r="F5" s="1">
        <v>25.0</v>
      </c>
      <c r="G5" s="1" t="str">
        <f>IFERROR(__xludf.DUMMYFUNCTION("JOIN("","", FILTER(B$1:F$1, B5:F5 = MAX(B5:F5)))"),"Se,Na,²H")</f>
        <v>Se,Na,²H</v>
      </c>
    </row>
    <row r="6">
      <c r="A6" s="4">
        <f t="shared" si="1"/>
        <v>5</v>
      </c>
      <c r="B6" s="1">
        <v>28.0</v>
      </c>
      <c r="C6" s="1">
        <v>17.0</v>
      </c>
      <c r="D6" s="1">
        <v>21.0</v>
      </c>
      <c r="E6" s="1">
        <v>25.0</v>
      </c>
      <c r="F6" s="1">
        <v>25.0</v>
      </c>
      <c r="G6" s="1" t="str">
        <f>IFERROR(__xludf.DUMMYFUNCTION("JOIN("","", FILTER(B$1:F$1, B6:F6 = MAX(B6:F6)))"),"Se")</f>
        <v>Se</v>
      </c>
    </row>
    <row r="7">
      <c r="A7" s="4">
        <f t="shared" si="1"/>
        <v>6</v>
      </c>
      <c r="B7" s="1">
        <v>25.0</v>
      </c>
      <c r="C7" s="1">
        <v>26.0</v>
      </c>
      <c r="D7" s="1">
        <v>23.0</v>
      </c>
      <c r="E7" s="1">
        <v>26.0</v>
      </c>
      <c r="F7" s="1">
        <v>20.0</v>
      </c>
      <c r="G7" s="1" t="str">
        <f>IFERROR(__xludf.DUMMYFUNCTION("JOIN("","", FILTER(B$1:F$1, B7:F7 = MAX(B7:F7)))"),"Mb,Ra")</f>
        <v>Mb,Ra</v>
      </c>
    </row>
    <row r="8">
      <c r="A8" s="4">
        <f t="shared" si="1"/>
        <v>7</v>
      </c>
      <c r="B8" s="1">
        <v>21.0</v>
      </c>
      <c r="C8" s="1">
        <v>25.0</v>
      </c>
      <c r="D8" s="1">
        <v>24.0</v>
      </c>
      <c r="E8" s="1">
        <v>28.0</v>
      </c>
      <c r="F8" s="1">
        <v>21.0</v>
      </c>
      <c r="G8" s="1" t="str">
        <f>IFERROR(__xludf.DUMMYFUNCTION("JOIN("","", FILTER(B$1:F$1, B8:F8 = MAX(B8:F8)))"),"Ra")</f>
        <v>Ra</v>
      </c>
    </row>
    <row r="9">
      <c r="A9" s="4">
        <f t="shared" si="1"/>
        <v>8</v>
      </c>
      <c r="B9" s="1">
        <v>28.0</v>
      </c>
      <c r="C9" s="1">
        <v>26.0</v>
      </c>
      <c r="D9" s="1">
        <v>24.0</v>
      </c>
      <c r="E9" s="1">
        <v>17.0</v>
      </c>
      <c r="F9" s="1">
        <v>20.0</v>
      </c>
      <c r="G9" s="1" t="str">
        <f>IFERROR(__xludf.DUMMYFUNCTION("JOIN("","", FILTER(B$1:F$1, B9:F9 = MAX(B9:F9)))"),"Se")</f>
        <v>Se</v>
      </c>
    </row>
    <row r="10">
      <c r="A10" s="4">
        <f t="shared" si="1"/>
        <v>9</v>
      </c>
      <c r="B10" s="1">
        <v>24.0</v>
      </c>
      <c r="C10" s="1">
        <v>16.0</v>
      </c>
      <c r="D10" s="1">
        <v>25.0</v>
      </c>
      <c r="E10" s="1">
        <v>16.0</v>
      </c>
      <c r="F10" s="1">
        <v>28.0</v>
      </c>
      <c r="G10" s="1" t="str">
        <f>IFERROR(__xludf.DUMMYFUNCTION("JOIN("","", FILTER(B$1:F$1, B10:F10 = MAX(B10:F10)))"),"²H")</f>
        <v>²H</v>
      </c>
    </row>
    <row r="11">
      <c r="A11" s="4">
        <f t="shared" si="1"/>
        <v>10</v>
      </c>
      <c r="B11" s="1">
        <v>25.0</v>
      </c>
      <c r="C11" s="1">
        <v>25.0</v>
      </c>
      <c r="D11" s="1">
        <v>14.0</v>
      </c>
      <c r="E11" s="1">
        <v>22.0</v>
      </c>
      <c r="F11" s="1">
        <v>21.0</v>
      </c>
      <c r="G11" s="1" t="str">
        <f>IFERROR(__xludf.DUMMYFUNCTION("JOIN("","", FILTER(B$1:F$1, B11:F11 = MAX(B11:F11)))"),"Se,Mb")</f>
        <v>Se,Mb</v>
      </c>
    </row>
    <row r="12">
      <c r="A12" s="4">
        <f t="shared" si="1"/>
        <v>11</v>
      </c>
      <c r="B12" s="1">
        <v>25.0</v>
      </c>
      <c r="C12" s="1">
        <v>19.0</v>
      </c>
      <c r="D12" s="1">
        <v>25.0</v>
      </c>
      <c r="E12" s="1">
        <v>26.0</v>
      </c>
      <c r="F12" s="1">
        <v>19.0</v>
      </c>
      <c r="G12" s="1" t="str">
        <f>IFERROR(__xludf.DUMMYFUNCTION("JOIN("","", FILTER(B$1:F$1, B12:F12 = MAX(B12:F12)))"),"Ra")</f>
        <v>Ra</v>
      </c>
    </row>
    <row r="13">
      <c r="A13" s="4">
        <f t="shared" si="1"/>
        <v>12</v>
      </c>
      <c r="B13" s="1">
        <v>21.0</v>
      </c>
      <c r="C13" s="1">
        <v>26.0</v>
      </c>
      <c r="D13" s="1">
        <v>15.0</v>
      </c>
      <c r="E13" s="1">
        <v>17.0</v>
      </c>
      <c r="F13" s="1">
        <v>21.0</v>
      </c>
      <c r="G13" s="1" t="str">
        <f>IFERROR(__xludf.DUMMYFUNCTION("JOIN("","", FILTER(B$1:F$1, B13:F13 = MAX(B13:F13)))"),"Mb")</f>
        <v>Mb</v>
      </c>
    </row>
    <row r="14">
      <c r="A14" s="4">
        <f t="shared" si="1"/>
        <v>13</v>
      </c>
      <c r="B14" s="1">
        <v>25.0</v>
      </c>
      <c r="C14" s="1">
        <v>23.0</v>
      </c>
      <c r="D14" s="1">
        <v>14.0</v>
      </c>
      <c r="E14" s="1">
        <v>17.0</v>
      </c>
      <c r="F14" s="1">
        <v>28.0</v>
      </c>
      <c r="G14" s="1" t="str">
        <f>IFERROR(__xludf.DUMMYFUNCTION("JOIN("","", FILTER(B$1:F$1, B14:F14 = MAX(B14:F14)))"),"²H")</f>
        <v>²H</v>
      </c>
    </row>
    <row r="15">
      <c r="A15" s="1">
        <v>14.0</v>
      </c>
      <c r="B15" s="1">
        <v>28.0</v>
      </c>
      <c r="C15" s="1">
        <v>25.0</v>
      </c>
      <c r="D15" s="1">
        <v>23.0</v>
      </c>
      <c r="E15" s="1">
        <v>25.0</v>
      </c>
      <c r="F15" s="1">
        <v>19.0</v>
      </c>
      <c r="G15" s="1" t="str">
        <f>IFERROR(__xludf.DUMMYFUNCTION("JOIN("","", FILTER(B$1:F$1, B15:F15 = MAX(B15:F15)))"),"Se")</f>
        <v>Se</v>
      </c>
    </row>
    <row r="16">
      <c r="A16" s="1">
        <v>15.0</v>
      </c>
      <c r="B16" s="1">
        <v>28.0</v>
      </c>
      <c r="C16" s="1">
        <v>28.0</v>
      </c>
      <c r="D16" s="1">
        <v>19.0</v>
      </c>
      <c r="E16" s="1">
        <v>23.0</v>
      </c>
      <c r="F16" s="1">
        <v>25.0</v>
      </c>
      <c r="G16" s="1" t="str">
        <f>IFERROR(__xludf.DUMMYFUNCTION("JOIN("","", FILTER(B$1:F$1, B16:F16 = MAX(B16:F16)))"),"Se,Mb")</f>
        <v>Se,Mb</v>
      </c>
    </row>
    <row r="17">
      <c r="A17" s="4">
        <f t="shared" ref="A17:A19" si="2">A16+1</f>
        <v>16</v>
      </c>
      <c r="B17" s="1">
        <v>22.0</v>
      </c>
      <c r="C17" s="1">
        <v>18.0</v>
      </c>
      <c r="D17" s="1">
        <v>18.0</v>
      </c>
      <c r="E17" s="1">
        <v>18.0</v>
      </c>
      <c r="F17" s="1">
        <v>22.0</v>
      </c>
      <c r="G17" s="1" t="str">
        <f>IFERROR(__xludf.DUMMYFUNCTION("JOIN("","", FILTER(B$1:F$1, B17:F17 = MAX(B17:F17)))"),"Se,²H")</f>
        <v>Se,²H</v>
      </c>
    </row>
    <row r="18">
      <c r="A18" s="4">
        <f t="shared" si="2"/>
        <v>17</v>
      </c>
      <c r="B18" s="1">
        <v>21.0</v>
      </c>
      <c r="C18" s="1">
        <v>22.0</v>
      </c>
      <c r="D18" s="1">
        <v>21.0</v>
      </c>
      <c r="E18" s="1">
        <v>24.0</v>
      </c>
      <c r="F18" s="1">
        <v>28.0</v>
      </c>
      <c r="G18" s="1" t="str">
        <f>IFERROR(__xludf.DUMMYFUNCTION("JOIN("","", FILTER(B$1:F$1, B18:F18 = MAX(B18:F18)))"),"²H")</f>
        <v>²H</v>
      </c>
    </row>
    <row r="19">
      <c r="A19" s="4">
        <f t="shared" si="2"/>
        <v>18</v>
      </c>
      <c r="B19" s="1">
        <v>28.0</v>
      </c>
      <c r="C19" s="1">
        <v>22.0</v>
      </c>
      <c r="D19" s="1">
        <v>20.0</v>
      </c>
      <c r="E19" s="1">
        <v>20.0</v>
      </c>
      <c r="F19" s="1">
        <v>25.0</v>
      </c>
      <c r="G19" s="1" t="str">
        <f>IFERROR(__xludf.DUMMYFUNCTION("JOIN("","", FILTER(B$1:F$1, B19:F19 = MAX(B19:F19)))"),"Se")</f>
        <v>Se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</cols>
  <sheetData>
    <row r="1">
      <c r="A1" s="2" t="s">
        <v>1</v>
      </c>
      <c r="B1" s="1" t="s">
        <v>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1.88"/>
  </cols>
  <sheetData>
    <row r="1">
      <c r="A1" s="1" t="s">
        <v>0</v>
      </c>
      <c r="B1" s="1" t="s">
        <v>9</v>
      </c>
      <c r="C1" s="1" t="s">
        <v>10</v>
      </c>
      <c r="D1" s="1" t="s">
        <v>11</v>
      </c>
    </row>
    <row r="2">
      <c r="A2" s="3">
        <f t="shared" ref="A2:A23" si="1">A3-7</f>
        <v>46024</v>
      </c>
      <c r="B2" s="4">
        <f>IF(AND(Puntajes!B2=0,SUM(Puntajes!B2:F2)&gt;0),1,0)</f>
        <v>0</v>
      </c>
      <c r="C2" s="6" t="str">
        <f t="shared" ref="C2:C53" si="2">CONCATENATE("https://www.nytimes.com/interactive/", YEAR(A2), "/", TEXT(MONTH(A2), "00"), "/", TEXT(DAY(A2), "00"), "/upshot/flashback.html")</f>
        <v>https://www.nytimes.com/interactive/2026/01/02/upshot/flashback.html</v>
      </c>
      <c r="D2" s="4" t="str">
        <f t="shared" ref="D2:D24" si="3">IF(B2=1,C2,"")</f>
        <v/>
      </c>
    </row>
    <row r="3">
      <c r="A3" s="3">
        <f t="shared" si="1"/>
        <v>46031</v>
      </c>
      <c r="B3" s="4">
        <f>IF(AND(Puntajes!B3=0,SUM(Puntajes!B3:F3)&gt;0),1,0)</f>
        <v>0</v>
      </c>
      <c r="C3" s="6" t="str">
        <f t="shared" si="2"/>
        <v>https://www.nytimes.com/interactive/2026/01/09/upshot/flashback.html</v>
      </c>
      <c r="D3" s="4" t="str">
        <f t="shared" si="3"/>
        <v/>
      </c>
    </row>
    <row r="4">
      <c r="A4" s="3">
        <f t="shared" si="1"/>
        <v>46038</v>
      </c>
      <c r="B4" s="4">
        <f>IF(AND(Puntajes!B4=0,SUM(Puntajes!B4:F4)&gt;0),1,0)</f>
        <v>0</v>
      </c>
      <c r="C4" s="6" t="str">
        <f t="shared" si="2"/>
        <v>https://www.nytimes.com/interactive/2026/01/16/upshot/flashback.html</v>
      </c>
      <c r="D4" s="4" t="str">
        <f t="shared" si="3"/>
        <v/>
      </c>
    </row>
    <row r="5">
      <c r="A5" s="3">
        <f t="shared" si="1"/>
        <v>46045</v>
      </c>
      <c r="B5" s="4">
        <f>IF(AND(Puntajes!B5=0,SUM(Puntajes!B5:F5)&gt;0),1,0)</f>
        <v>0</v>
      </c>
      <c r="C5" s="6" t="str">
        <f t="shared" si="2"/>
        <v>https://www.nytimes.com/interactive/2026/01/23/upshot/flashback.html</v>
      </c>
      <c r="D5" s="4" t="str">
        <f t="shared" si="3"/>
        <v/>
      </c>
    </row>
    <row r="6">
      <c r="A6" s="3">
        <f t="shared" si="1"/>
        <v>46052</v>
      </c>
      <c r="B6" s="4">
        <f>IF(AND(Puntajes!B6=0,SUM(Puntajes!B6:F6)&gt;0),1,0)</f>
        <v>0</v>
      </c>
      <c r="C6" s="6" t="str">
        <f t="shared" si="2"/>
        <v>https://www.nytimes.com/interactive/2026/01/30/upshot/flashback.html</v>
      </c>
      <c r="D6" s="4" t="str">
        <f t="shared" si="3"/>
        <v/>
      </c>
    </row>
    <row r="7">
      <c r="A7" s="3">
        <f t="shared" si="1"/>
        <v>46059</v>
      </c>
      <c r="B7" s="4">
        <f>IF(AND(Puntajes!B7=0,SUM(Puntajes!B7:F7)&gt;0),1,0)</f>
        <v>0</v>
      </c>
      <c r="C7" s="6" t="str">
        <f t="shared" si="2"/>
        <v>https://www.nytimes.com/interactive/2026/02/06/upshot/flashback.html</v>
      </c>
      <c r="D7" s="4" t="str">
        <f t="shared" si="3"/>
        <v/>
      </c>
    </row>
    <row r="8">
      <c r="A8" s="3">
        <f t="shared" si="1"/>
        <v>46066</v>
      </c>
      <c r="B8" s="4">
        <f>IF(AND(Puntajes!B8=0,SUM(Puntajes!B8:F8)&gt;0),1,0)</f>
        <v>0</v>
      </c>
      <c r="C8" s="6" t="str">
        <f t="shared" si="2"/>
        <v>https://www.nytimes.com/interactive/2026/02/13/upshot/flashback.html</v>
      </c>
      <c r="D8" s="4" t="str">
        <f t="shared" si="3"/>
        <v/>
      </c>
    </row>
    <row r="9">
      <c r="A9" s="3">
        <f t="shared" si="1"/>
        <v>46073</v>
      </c>
      <c r="B9" s="4">
        <f>IF(AND(Puntajes!B9=0,SUM(Puntajes!B9:F9)&gt;0),1,0)</f>
        <v>0</v>
      </c>
      <c r="C9" s="6" t="str">
        <f t="shared" si="2"/>
        <v>https://www.nytimes.com/interactive/2026/02/20/upshot/flashback.html</v>
      </c>
      <c r="D9" s="4" t="str">
        <f t="shared" si="3"/>
        <v/>
      </c>
    </row>
    <row r="10">
      <c r="A10" s="3">
        <f t="shared" si="1"/>
        <v>46080</v>
      </c>
      <c r="B10" s="4">
        <f>IF(AND(Puntajes!B10=0,SUM(Puntajes!B10:F10)&gt;0),1,0)</f>
        <v>0</v>
      </c>
      <c r="C10" s="6" t="str">
        <f t="shared" si="2"/>
        <v>https://www.nytimes.com/interactive/2026/02/27/upshot/flashback.html</v>
      </c>
      <c r="D10" s="4" t="str">
        <f t="shared" si="3"/>
        <v/>
      </c>
    </row>
    <row r="11">
      <c r="A11" s="3">
        <f t="shared" si="1"/>
        <v>46087</v>
      </c>
      <c r="B11" s="4">
        <f>IF(AND(Puntajes!B11=0,SUM(Puntajes!B11:F11)&gt;0),1,0)</f>
        <v>0</v>
      </c>
      <c r="C11" s="6" t="str">
        <f t="shared" si="2"/>
        <v>https://www.nytimes.com/interactive/2026/03/06/upshot/flashback.html</v>
      </c>
      <c r="D11" s="4" t="str">
        <f t="shared" si="3"/>
        <v/>
      </c>
    </row>
    <row r="12">
      <c r="A12" s="3">
        <f t="shared" si="1"/>
        <v>46094</v>
      </c>
      <c r="B12" s="4">
        <f>IF(AND(Puntajes!B12=0,SUM(Puntajes!B12:F12)&gt;0),1,0)</f>
        <v>0</v>
      </c>
      <c r="C12" s="6" t="str">
        <f t="shared" si="2"/>
        <v>https://www.nytimes.com/interactive/2026/03/13/upshot/flashback.html</v>
      </c>
      <c r="D12" s="4" t="str">
        <f t="shared" si="3"/>
        <v/>
      </c>
    </row>
    <row r="13">
      <c r="A13" s="3">
        <f t="shared" si="1"/>
        <v>46101</v>
      </c>
      <c r="B13" s="4">
        <f>IF(AND(Puntajes!B13=0,SUM(Puntajes!B13:F13)&gt;0),1,0)</f>
        <v>0</v>
      </c>
      <c r="C13" s="6" t="str">
        <f t="shared" si="2"/>
        <v>https://www.nytimes.com/interactive/2026/03/20/upshot/flashback.html</v>
      </c>
      <c r="D13" s="4" t="str">
        <f t="shared" si="3"/>
        <v/>
      </c>
    </row>
    <row r="14">
      <c r="A14" s="3">
        <f t="shared" si="1"/>
        <v>46108</v>
      </c>
      <c r="B14" s="4">
        <f>IF(AND(Puntajes!B14=0,SUM(Puntajes!B14:F14)&gt;0),1,0)</f>
        <v>0</v>
      </c>
      <c r="C14" s="6" t="str">
        <f t="shared" si="2"/>
        <v>https://www.nytimes.com/interactive/2026/03/27/upshot/flashback.html</v>
      </c>
      <c r="D14" s="4" t="str">
        <f t="shared" si="3"/>
        <v/>
      </c>
    </row>
    <row r="15">
      <c r="A15" s="3">
        <f t="shared" si="1"/>
        <v>46115</v>
      </c>
      <c r="B15" s="4">
        <f>IF(AND(Puntajes!B15=0,SUM(Puntajes!B15:F15)&gt;0),1,0)</f>
        <v>0</v>
      </c>
      <c r="C15" s="6" t="str">
        <f t="shared" si="2"/>
        <v>https://www.nytimes.com/interactive/2026/04/03/upshot/flashback.html</v>
      </c>
      <c r="D15" s="4" t="str">
        <f t="shared" si="3"/>
        <v/>
      </c>
    </row>
    <row r="16">
      <c r="A16" s="3">
        <f t="shared" si="1"/>
        <v>46122</v>
      </c>
      <c r="B16" s="4">
        <f>IF(AND(Puntajes!B16=0,SUM(Puntajes!B16:F16)&gt;0),1,0)</f>
        <v>0</v>
      </c>
      <c r="C16" s="6" t="str">
        <f t="shared" si="2"/>
        <v>https://www.nytimes.com/interactive/2026/04/10/upshot/flashback.html</v>
      </c>
      <c r="D16" s="4" t="str">
        <f t="shared" si="3"/>
        <v/>
      </c>
    </row>
    <row r="17">
      <c r="A17" s="3">
        <f t="shared" si="1"/>
        <v>46129</v>
      </c>
      <c r="B17" s="4">
        <f>IF(AND(Puntajes!B17=0,SUM(Puntajes!B17:F17)&gt;0),1,0)</f>
        <v>0</v>
      </c>
      <c r="C17" s="6" t="str">
        <f t="shared" si="2"/>
        <v>https://www.nytimes.com/interactive/2026/04/17/upshot/flashback.html</v>
      </c>
      <c r="D17" s="4" t="str">
        <f t="shared" si="3"/>
        <v/>
      </c>
    </row>
    <row r="18">
      <c r="A18" s="3">
        <f t="shared" si="1"/>
        <v>46136</v>
      </c>
      <c r="B18" s="4">
        <f>IF(AND(Puntajes!B18=0,SUM(Puntajes!B18:F18)&gt;0),1,0)</f>
        <v>0</v>
      </c>
      <c r="C18" s="6" t="str">
        <f t="shared" si="2"/>
        <v>https://www.nytimes.com/interactive/2026/04/24/upshot/flashback.html</v>
      </c>
      <c r="D18" s="4" t="str">
        <f t="shared" si="3"/>
        <v/>
      </c>
    </row>
    <row r="19">
      <c r="A19" s="3">
        <f t="shared" si="1"/>
        <v>46143</v>
      </c>
      <c r="B19" s="4">
        <f>IF(AND(Puntajes!B19=0,SUM(Puntajes!B19:F19)&gt;0),1,0)</f>
        <v>0</v>
      </c>
      <c r="C19" s="6" t="str">
        <f t="shared" si="2"/>
        <v>https://www.nytimes.com/interactive/2026/05/01/upshot/flashback.html</v>
      </c>
      <c r="D19" s="4" t="str">
        <f t="shared" si="3"/>
        <v/>
      </c>
    </row>
    <row r="20">
      <c r="A20" s="3">
        <f t="shared" si="1"/>
        <v>46150</v>
      </c>
      <c r="B20" s="4">
        <f>IF(AND(Puntajes!B20=0,SUM(Puntajes!B20:F20)&gt;0),1,0)</f>
        <v>0</v>
      </c>
      <c r="C20" s="6" t="str">
        <f t="shared" si="2"/>
        <v>https://www.nytimes.com/interactive/2026/05/08/upshot/flashback.html</v>
      </c>
      <c r="D20" s="4" t="str">
        <f t="shared" si="3"/>
        <v/>
      </c>
    </row>
    <row r="21">
      <c r="A21" s="3">
        <f t="shared" si="1"/>
        <v>46157</v>
      </c>
      <c r="B21" s="4">
        <f>IF(AND(Puntajes!B21=0,SUM(Puntajes!B21:F21)&gt;0),1,0)</f>
        <v>0</v>
      </c>
      <c r="C21" s="6" t="str">
        <f t="shared" si="2"/>
        <v>https://www.nytimes.com/interactive/2026/05/15/upshot/flashback.html</v>
      </c>
      <c r="D21" s="4" t="str">
        <f t="shared" si="3"/>
        <v/>
      </c>
    </row>
    <row r="22">
      <c r="A22" s="3">
        <f t="shared" si="1"/>
        <v>46164</v>
      </c>
      <c r="B22" s="4">
        <f>IF(AND(Puntajes!B22=0,SUM(Puntajes!B22:F22)&gt;0),1,0)</f>
        <v>0</v>
      </c>
      <c r="C22" s="6" t="str">
        <f t="shared" si="2"/>
        <v>https://www.nytimes.com/interactive/2026/05/22/upshot/flashback.html</v>
      </c>
      <c r="D22" s="4" t="str">
        <f t="shared" si="3"/>
        <v/>
      </c>
    </row>
    <row r="23">
      <c r="A23" s="3">
        <f t="shared" si="1"/>
        <v>46171</v>
      </c>
      <c r="B23" s="4">
        <f>IF(AND(Puntajes!B23=0,SUM(Puntajes!B23:F23)&gt;0),1,0)</f>
        <v>0</v>
      </c>
      <c r="C23" s="6" t="str">
        <f t="shared" si="2"/>
        <v>https://www.nytimes.com/interactive/2026/05/29/upshot/flashback.html</v>
      </c>
      <c r="D23" s="4" t="str">
        <f t="shared" si="3"/>
        <v/>
      </c>
    </row>
    <row r="24">
      <c r="A24" s="7">
        <v>46178.0</v>
      </c>
      <c r="B24" s="4">
        <f>IF(AND(Puntajes!B24=0,SUM(Puntajes!B24:F24)&gt;0),1,0)</f>
        <v>0</v>
      </c>
      <c r="C24" s="6" t="str">
        <f t="shared" si="2"/>
        <v>https://www.nytimes.com/interactive/2026/06/05/upshot/flashback.html</v>
      </c>
      <c r="D24" s="4" t="str">
        <f t="shared" si="3"/>
        <v/>
      </c>
    </row>
    <row r="25">
      <c r="A25" s="3">
        <f t="shared" ref="A25:A53" si="4">A24+7</f>
        <v>46185</v>
      </c>
      <c r="B25" s="4">
        <f>IF(AND(Puntajes!B25=0,SUM(Puntajes!B25:F25)&gt;0),1,0)</f>
        <v>0</v>
      </c>
      <c r="C25" s="6" t="str">
        <f t="shared" si="2"/>
        <v>https://www.nytimes.com/interactive/2026/06/12/upshot/flashback.html</v>
      </c>
    </row>
    <row r="26">
      <c r="A26" s="3">
        <f t="shared" si="4"/>
        <v>46192</v>
      </c>
      <c r="B26" s="4">
        <f>IF(AND(Puntajes!B26=0,SUM(Puntajes!B26:F26)&gt;0),1,0)</f>
        <v>0</v>
      </c>
      <c r="C26" s="6" t="str">
        <f t="shared" si="2"/>
        <v>https://www.nytimes.com/interactive/2026/06/19/upshot/flashback.html</v>
      </c>
    </row>
    <row r="27">
      <c r="A27" s="3">
        <f t="shared" si="4"/>
        <v>46199</v>
      </c>
      <c r="B27" s="4">
        <f>IF(AND(Puntajes!B27=0,SUM(Puntajes!B27:F27)&gt;0),1,0)</f>
        <v>0</v>
      </c>
      <c r="C27" s="6" t="str">
        <f t="shared" si="2"/>
        <v>https://www.nytimes.com/interactive/2026/06/26/upshot/flashback.html</v>
      </c>
    </row>
    <row r="28">
      <c r="A28" s="3">
        <f t="shared" si="4"/>
        <v>46206</v>
      </c>
      <c r="B28" s="4">
        <f>IF(AND(Puntajes!B28=0,SUM(Puntajes!B28:F28)&gt;0),1,0)</f>
        <v>0</v>
      </c>
      <c r="C28" s="6" t="str">
        <f t="shared" si="2"/>
        <v>https://www.nytimes.com/interactive/2026/07/03/upshot/flashback.html</v>
      </c>
    </row>
    <row r="29">
      <c r="A29" s="3">
        <f t="shared" si="4"/>
        <v>46213</v>
      </c>
      <c r="B29" s="4">
        <f>IF(AND(Puntajes!B29=0,SUM(Puntajes!B29:F29)&gt;0),1,0)</f>
        <v>0</v>
      </c>
      <c r="C29" s="6" t="str">
        <f t="shared" si="2"/>
        <v>https://www.nytimes.com/interactive/2026/07/10/upshot/flashback.html</v>
      </c>
    </row>
    <row r="30">
      <c r="A30" s="3">
        <f t="shared" si="4"/>
        <v>46220</v>
      </c>
      <c r="B30" s="4">
        <f>IF(AND(Puntajes!B30=0,SUM(Puntajes!B30:F30)&gt;0),1,0)</f>
        <v>0</v>
      </c>
      <c r="C30" s="6" t="str">
        <f t="shared" si="2"/>
        <v>https://www.nytimes.com/interactive/2026/07/17/upshot/flashback.html</v>
      </c>
    </row>
    <row r="31">
      <c r="A31" s="3">
        <f t="shared" si="4"/>
        <v>46227</v>
      </c>
      <c r="B31" s="4">
        <f>IF(AND(Puntajes!B31=0,SUM(Puntajes!B31:F31)&gt;0),1,0)</f>
        <v>0</v>
      </c>
      <c r="C31" s="6" t="str">
        <f t="shared" si="2"/>
        <v>https://www.nytimes.com/interactive/2026/07/24/upshot/flashback.html</v>
      </c>
    </row>
    <row r="32">
      <c r="A32" s="3">
        <f t="shared" si="4"/>
        <v>46234</v>
      </c>
      <c r="B32" s="4">
        <f>IF(AND(Puntajes!B32=0,SUM(Puntajes!B32:F32)&gt;0),1,0)</f>
        <v>0</v>
      </c>
      <c r="C32" s="6" t="str">
        <f t="shared" si="2"/>
        <v>https://www.nytimes.com/interactive/2026/07/31/upshot/flashback.html</v>
      </c>
    </row>
    <row r="33">
      <c r="A33" s="3">
        <f t="shared" si="4"/>
        <v>46241</v>
      </c>
      <c r="B33" s="4">
        <f>IF(AND(Puntajes!B33=0,SUM(Puntajes!B33:F33)&gt;0),1,0)</f>
        <v>0</v>
      </c>
      <c r="C33" s="6" t="str">
        <f t="shared" si="2"/>
        <v>https://www.nytimes.com/interactive/2026/08/07/upshot/flashback.html</v>
      </c>
    </row>
    <row r="34">
      <c r="A34" s="3">
        <f t="shared" si="4"/>
        <v>46248</v>
      </c>
      <c r="B34" s="4">
        <f>IF(AND(Puntajes!B34=0,SUM(Puntajes!B34:F34)&gt;0),1,0)</f>
        <v>0</v>
      </c>
      <c r="C34" s="6" t="str">
        <f t="shared" si="2"/>
        <v>https://www.nytimes.com/interactive/2026/08/14/upshot/flashback.html</v>
      </c>
    </row>
    <row r="35">
      <c r="A35" s="3">
        <f t="shared" si="4"/>
        <v>46255</v>
      </c>
      <c r="B35" s="4">
        <f>IF(AND(Puntajes!B35=0,SUM(Puntajes!B35:F35)&gt;0),1,0)</f>
        <v>0</v>
      </c>
      <c r="C35" s="6" t="str">
        <f t="shared" si="2"/>
        <v>https://www.nytimes.com/interactive/2026/08/21/upshot/flashback.html</v>
      </c>
    </row>
    <row r="36">
      <c r="A36" s="3">
        <f t="shared" si="4"/>
        <v>46262</v>
      </c>
      <c r="B36" s="4">
        <f>IF(AND(Puntajes!B36=0,SUM(Puntajes!B36:F36)&gt;0),1,0)</f>
        <v>0</v>
      </c>
      <c r="C36" s="6" t="str">
        <f t="shared" si="2"/>
        <v>https://www.nytimes.com/interactive/2026/08/28/upshot/flashback.html</v>
      </c>
    </row>
    <row r="37">
      <c r="A37" s="3">
        <f t="shared" si="4"/>
        <v>46269</v>
      </c>
      <c r="B37" s="4">
        <f>IF(AND(Puntajes!B37=0,SUM(Puntajes!B37:F37)&gt;0),1,0)</f>
        <v>0</v>
      </c>
      <c r="C37" s="6" t="str">
        <f t="shared" si="2"/>
        <v>https://www.nytimes.com/interactive/2026/09/04/upshot/flashback.html</v>
      </c>
    </row>
    <row r="38">
      <c r="A38" s="3">
        <f t="shared" si="4"/>
        <v>46276</v>
      </c>
      <c r="B38" s="4">
        <f>IF(AND(Puntajes!B38=0,SUM(Puntajes!B38:F38)&gt;0),1,0)</f>
        <v>0</v>
      </c>
      <c r="C38" s="6" t="str">
        <f t="shared" si="2"/>
        <v>https://www.nytimes.com/interactive/2026/09/11/upshot/flashback.html</v>
      </c>
    </row>
    <row r="39">
      <c r="A39" s="3">
        <f t="shared" si="4"/>
        <v>46283</v>
      </c>
      <c r="B39" s="4">
        <f>IF(AND(Puntajes!B39=0,SUM(Puntajes!B39:F39)&gt;0),1,0)</f>
        <v>0</v>
      </c>
      <c r="C39" s="6" t="str">
        <f t="shared" si="2"/>
        <v>https://www.nytimes.com/interactive/2026/09/18/upshot/flashback.html</v>
      </c>
    </row>
    <row r="40">
      <c r="A40" s="3">
        <f t="shared" si="4"/>
        <v>46290</v>
      </c>
      <c r="B40" s="4">
        <f>IF(AND(Puntajes!B40=0,SUM(Puntajes!B40:F40)&gt;0),1,0)</f>
        <v>0</v>
      </c>
      <c r="C40" s="6" t="str">
        <f t="shared" si="2"/>
        <v>https://www.nytimes.com/interactive/2026/09/25/upshot/flashback.html</v>
      </c>
    </row>
    <row r="41">
      <c r="A41" s="3">
        <f t="shared" si="4"/>
        <v>46297</v>
      </c>
      <c r="B41" s="4">
        <f>IF(AND(Puntajes!B41=0,SUM(Puntajes!B41:F41)&gt;0),1,0)</f>
        <v>0</v>
      </c>
      <c r="C41" s="6" t="str">
        <f t="shared" si="2"/>
        <v>https://www.nytimes.com/interactive/2026/10/02/upshot/flashback.html</v>
      </c>
    </row>
    <row r="42">
      <c r="A42" s="3">
        <f t="shared" si="4"/>
        <v>46304</v>
      </c>
      <c r="B42" s="4">
        <f>IF(AND(Puntajes!B42=0,SUM(Puntajes!B42:F42)&gt;0),1,0)</f>
        <v>0</v>
      </c>
      <c r="C42" s="6" t="str">
        <f t="shared" si="2"/>
        <v>https://www.nytimes.com/interactive/2026/10/09/upshot/flashback.html</v>
      </c>
    </row>
    <row r="43">
      <c r="A43" s="3">
        <f t="shared" si="4"/>
        <v>46311</v>
      </c>
      <c r="B43" s="4">
        <f>IF(AND(Puntajes!B43=0,SUM(Puntajes!B43:F43)&gt;0),1,0)</f>
        <v>0</v>
      </c>
      <c r="C43" s="6" t="str">
        <f t="shared" si="2"/>
        <v>https://www.nytimes.com/interactive/2026/10/16/upshot/flashback.html</v>
      </c>
    </row>
    <row r="44">
      <c r="A44" s="3">
        <f t="shared" si="4"/>
        <v>46318</v>
      </c>
      <c r="B44" s="4">
        <f>IF(AND(Puntajes!B44=0,SUM(Puntajes!B44:F44)&gt;0),1,0)</f>
        <v>0</v>
      </c>
      <c r="C44" s="6" t="str">
        <f t="shared" si="2"/>
        <v>https://www.nytimes.com/interactive/2026/10/23/upshot/flashback.html</v>
      </c>
    </row>
    <row r="45">
      <c r="A45" s="3">
        <f t="shared" si="4"/>
        <v>46325</v>
      </c>
      <c r="B45" s="4">
        <f>IF(AND(Puntajes!B45=0,SUM(Puntajes!B45:F45)&gt;0),1,0)</f>
        <v>0</v>
      </c>
      <c r="C45" s="6" t="str">
        <f t="shared" si="2"/>
        <v>https://www.nytimes.com/interactive/2026/10/30/upshot/flashback.html</v>
      </c>
    </row>
    <row r="46">
      <c r="A46" s="3">
        <f t="shared" si="4"/>
        <v>46332</v>
      </c>
      <c r="B46" s="4">
        <f>IF(AND(Puntajes!B46=0,SUM(Puntajes!B46:F46)&gt;0),1,0)</f>
        <v>0</v>
      </c>
      <c r="C46" s="6" t="str">
        <f t="shared" si="2"/>
        <v>https://www.nytimes.com/interactive/2026/11/06/upshot/flashback.html</v>
      </c>
    </row>
    <row r="47">
      <c r="A47" s="3">
        <f t="shared" si="4"/>
        <v>46339</v>
      </c>
      <c r="B47" s="4">
        <f>IF(AND(Puntajes!B47=0,SUM(Puntajes!B47:F47)&gt;0),1,0)</f>
        <v>0</v>
      </c>
      <c r="C47" s="6" t="str">
        <f t="shared" si="2"/>
        <v>https://www.nytimes.com/interactive/2026/11/13/upshot/flashback.html</v>
      </c>
    </row>
    <row r="48">
      <c r="A48" s="3">
        <f t="shared" si="4"/>
        <v>46346</v>
      </c>
      <c r="B48" s="4">
        <f>IF(AND(Puntajes!B48=0,SUM(Puntajes!B48:F48)&gt;0),1,0)</f>
        <v>0</v>
      </c>
      <c r="C48" s="6" t="str">
        <f t="shared" si="2"/>
        <v>https://www.nytimes.com/interactive/2026/11/20/upshot/flashback.html</v>
      </c>
    </row>
    <row r="49">
      <c r="A49" s="3">
        <f t="shared" si="4"/>
        <v>46353</v>
      </c>
      <c r="B49" s="4">
        <f>IF(AND(Puntajes!B49=0,SUM(Puntajes!B49:F49)&gt;0),1,0)</f>
        <v>0</v>
      </c>
      <c r="C49" s="6" t="str">
        <f t="shared" si="2"/>
        <v>https://www.nytimes.com/interactive/2026/11/27/upshot/flashback.html</v>
      </c>
    </row>
    <row r="50">
      <c r="A50" s="3">
        <f t="shared" si="4"/>
        <v>46360</v>
      </c>
      <c r="B50" s="4">
        <f>IF(AND(Puntajes!B50=0,SUM(Puntajes!B50:F50)&gt;0),1,0)</f>
        <v>0</v>
      </c>
      <c r="C50" s="6" t="str">
        <f t="shared" si="2"/>
        <v>https://www.nytimes.com/interactive/2026/12/04/upshot/flashback.html</v>
      </c>
    </row>
    <row r="51">
      <c r="A51" s="3">
        <f t="shared" si="4"/>
        <v>46367</v>
      </c>
      <c r="B51" s="4">
        <f>IF(AND(Puntajes!B51=0,SUM(Puntajes!B51:F51)&gt;0),1,0)</f>
        <v>0</v>
      </c>
      <c r="C51" s="6" t="str">
        <f t="shared" si="2"/>
        <v>https://www.nytimes.com/interactive/2026/12/11/upshot/flashback.html</v>
      </c>
    </row>
    <row r="52">
      <c r="A52" s="3">
        <f t="shared" si="4"/>
        <v>46374</v>
      </c>
      <c r="B52" s="4">
        <f>IF(AND(Puntajes!B52=0,SUM(Puntajes!B52:F52)&gt;0),1,0)</f>
        <v>0</v>
      </c>
      <c r="C52" s="6" t="str">
        <f t="shared" si="2"/>
        <v>https://www.nytimes.com/interactive/2026/12/18/upshot/flashback.html</v>
      </c>
    </row>
    <row r="53">
      <c r="A53" s="3">
        <f t="shared" si="4"/>
        <v>46381</v>
      </c>
      <c r="B53" s="4">
        <f>IF(AND(Puntajes!B53=0,SUM(Puntajes!B53:F53)&gt;0),1,0)</f>
        <v>0</v>
      </c>
      <c r="C53" s="6" t="str">
        <f t="shared" si="2"/>
        <v>https://www.nytimes.com/interactive/2026/12/25/upshot/flashback.html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1.88"/>
  </cols>
  <sheetData>
    <row r="1">
      <c r="A1" s="1" t="s">
        <v>0</v>
      </c>
      <c r="B1" s="1" t="s">
        <v>12</v>
      </c>
      <c r="C1" s="1" t="s">
        <v>10</v>
      </c>
      <c r="D1" s="1" t="s">
        <v>11</v>
      </c>
    </row>
    <row r="2">
      <c r="A2" s="3">
        <v>46024.0</v>
      </c>
      <c r="B2" s="4">
        <f>IF(AND(Puntajes!C2=0,SUM(Puntajes!B2:F2)&gt;0),1,0)</f>
        <v>0</v>
      </c>
      <c r="C2" s="6" t="str">
        <f t="shared" ref="C2:C53" si="1">CONCATENATE("https://www.nytimes.com/interactive/", YEAR(A2), "/", TEXT(MONTH(A2), "00"), "/", TEXT(DAY(A2), "00"), "/upshot/flashback.html")</f>
        <v>https://www.nytimes.com/interactive/2026/01/02/upshot/flashback.html</v>
      </c>
      <c r="D2" s="4" t="str">
        <f t="shared" ref="D2:D53" si="2">IF(B2=1,C2,"")</f>
        <v/>
      </c>
    </row>
    <row r="3">
      <c r="A3" s="3">
        <f t="shared" ref="A3:A53" si="3">A2+7</f>
        <v>46031</v>
      </c>
      <c r="B3" s="4">
        <f>IF(AND(Puntajes!C3=0,SUM(Puntajes!B3:F3)&gt;0),1,0)</f>
        <v>0</v>
      </c>
      <c r="C3" s="6" t="str">
        <f t="shared" si="1"/>
        <v>https://www.nytimes.com/interactive/2026/01/09/upshot/flashback.html</v>
      </c>
      <c r="D3" s="4" t="str">
        <f t="shared" si="2"/>
        <v/>
      </c>
    </row>
    <row r="4">
      <c r="A4" s="3">
        <f t="shared" si="3"/>
        <v>46038</v>
      </c>
      <c r="B4" s="4">
        <f>IF(AND(Puntajes!C4=0,SUM(Puntajes!B4:F4)&gt;0),1,0)</f>
        <v>0</v>
      </c>
      <c r="C4" s="6" t="str">
        <f t="shared" si="1"/>
        <v>https://www.nytimes.com/interactive/2026/01/16/upshot/flashback.html</v>
      </c>
      <c r="D4" s="4" t="str">
        <f t="shared" si="2"/>
        <v/>
      </c>
    </row>
    <row r="5">
      <c r="A5" s="3">
        <f t="shared" si="3"/>
        <v>46045</v>
      </c>
      <c r="B5" s="4">
        <f>IF(AND(Puntajes!C5=0,SUM(Puntajes!B5:F5)&gt;0),1,0)</f>
        <v>0</v>
      </c>
      <c r="C5" s="6" t="str">
        <f t="shared" si="1"/>
        <v>https://www.nytimes.com/interactive/2026/01/23/upshot/flashback.html</v>
      </c>
      <c r="D5" s="4" t="str">
        <f t="shared" si="2"/>
        <v/>
      </c>
    </row>
    <row r="6">
      <c r="A6" s="3">
        <f t="shared" si="3"/>
        <v>46052</v>
      </c>
      <c r="B6" s="4">
        <f>IF(AND(Puntajes!C6=0,SUM(Puntajes!B6:F6)&gt;0),1,0)</f>
        <v>0</v>
      </c>
      <c r="C6" s="6" t="str">
        <f t="shared" si="1"/>
        <v>https://www.nytimes.com/interactive/2026/01/30/upshot/flashback.html</v>
      </c>
      <c r="D6" s="4" t="str">
        <f t="shared" si="2"/>
        <v/>
      </c>
    </row>
    <row r="7">
      <c r="A7" s="3">
        <f t="shared" si="3"/>
        <v>46059</v>
      </c>
      <c r="B7" s="4">
        <f>IF(AND(Puntajes!C7=0,SUM(Puntajes!B7:F7)&gt;0),1,0)</f>
        <v>0</v>
      </c>
      <c r="C7" s="6" t="str">
        <f t="shared" si="1"/>
        <v>https://www.nytimes.com/interactive/2026/02/06/upshot/flashback.html</v>
      </c>
      <c r="D7" s="4" t="str">
        <f t="shared" si="2"/>
        <v/>
      </c>
    </row>
    <row r="8">
      <c r="A8" s="3">
        <f t="shared" si="3"/>
        <v>46066</v>
      </c>
      <c r="B8" s="4">
        <f>IF(AND(Puntajes!C8=0,SUM(Puntajes!B8:F8)&gt;0),1,0)</f>
        <v>0</v>
      </c>
      <c r="C8" s="6" t="str">
        <f t="shared" si="1"/>
        <v>https://www.nytimes.com/interactive/2026/02/13/upshot/flashback.html</v>
      </c>
      <c r="D8" s="4" t="str">
        <f t="shared" si="2"/>
        <v/>
      </c>
    </row>
    <row r="9">
      <c r="A9" s="3">
        <f t="shared" si="3"/>
        <v>46073</v>
      </c>
      <c r="B9" s="4">
        <f>IF(AND(Puntajes!C9=0,SUM(Puntajes!B9:F9)&gt;0),1,0)</f>
        <v>0</v>
      </c>
      <c r="C9" s="6" t="str">
        <f t="shared" si="1"/>
        <v>https://www.nytimes.com/interactive/2026/02/20/upshot/flashback.html</v>
      </c>
      <c r="D9" s="4" t="str">
        <f t="shared" si="2"/>
        <v/>
      </c>
    </row>
    <row r="10">
      <c r="A10" s="3">
        <f t="shared" si="3"/>
        <v>46080</v>
      </c>
      <c r="B10" s="4">
        <f>IF(AND(Puntajes!C10=0,SUM(Puntajes!B10:F10)&gt;0),1,0)</f>
        <v>0</v>
      </c>
      <c r="C10" s="6" t="str">
        <f t="shared" si="1"/>
        <v>https://www.nytimes.com/interactive/2026/02/27/upshot/flashback.html</v>
      </c>
      <c r="D10" s="4" t="str">
        <f t="shared" si="2"/>
        <v/>
      </c>
    </row>
    <row r="11">
      <c r="A11" s="3">
        <f t="shared" si="3"/>
        <v>46087</v>
      </c>
      <c r="B11" s="4">
        <f>IF(AND(Puntajes!C11=0,SUM(Puntajes!B11:F11)&gt;0),1,0)</f>
        <v>0</v>
      </c>
      <c r="C11" s="6" t="str">
        <f t="shared" si="1"/>
        <v>https://www.nytimes.com/interactive/2026/03/06/upshot/flashback.html</v>
      </c>
      <c r="D11" s="4" t="str">
        <f t="shared" si="2"/>
        <v/>
      </c>
    </row>
    <row r="12">
      <c r="A12" s="3">
        <f t="shared" si="3"/>
        <v>46094</v>
      </c>
      <c r="B12" s="4">
        <f>IF(AND(Puntajes!C12=0,SUM(Puntajes!B12:F12)&gt;0),1,0)</f>
        <v>0</v>
      </c>
      <c r="C12" s="6" t="str">
        <f t="shared" si="1"/>
        <v>https://www.nytimes.com/interactive/2026/03/13/upshot/flashback.html</v>
      </c>
      <c r="D12" s="4" t="str">
        <f t="shared" si="2"/>
        <v/>
      </c>
    </row>
    <row r="13">
      <c r="A13" s="3">
        <f t="shared" si="3"/>
        <v>46101</v>
      </c>
      <c r="B13" s="4">
        <f>IF(AND(Puntajes!C13=0,SUM(Puntajes!B13:F13)&gt;0),1,0)</f>
        <v>0</v>
      </c>
      <c r="C13" s="6" t="str">
        <f t="shared" si="1"/>
        <v>https://www.nytimes.com/interactive/2026/03/20/upshot/flashback.html</v>
      </c>
      <c r="D13" s="4" t="str">
        <f t="shared" si="2"/>
        <v/>
      </c>
    </row>
    <row r="14">
      <c r="A14" s="3">
        <f t="shared" si="3"/>
        <v>46108</v>
      </c>
      <c r="B14" s="4">
        <f>IF(AND(Puntajes!C14=0,SUM(Puntajes!B14:F14)&gt;0),1,0)</f>
        <v>0</v>
      </c>
      <c r="C14" s="6" t="str">
        <f t="shared" si="1"/>
        <v>https://www.nytimes.com/interactive/2026/03/27/upshot/flashback.html</v>
      </c>
      <c r="D14" s="4" t="str">
        <f t="shared" si="2"/>
        <v/>
      </c>
    </row>
    <row r="15">
      <c r="A15" s="3">
        <f t="shared" si="3"/>
        <v>46115</v>
      </c>
      <c r="B15" s="4">
        <f>IF(AND(Puntajes!C15=0,SUM(Puntajes!B15:F15)&gt;0),1,0)</f>
        <v>0</v>
      </c>
      <c r="C15" s="6" t="str">
        <f t="shared" si="1"/>
        <v>https://www.nytimes.com/interactive/2026/04/03/upshot/flashback.html</v>
      </c>
      <c r="D15" s="4" t="str">
        <f t="shared" si="2"/>
        <v/>
      </c>
    </row>
    <row r="16">
      <c r="A16" s="3">
        <f t="shared" si="3"/>
        <v>46122</v>
      </c>
      <c r="B16" s="4">
        <f>IF(AND(Puntajes!C16=0,SUM(Puntajes!B16:F16)&gt;0),1,0)</f>
        <v>0</v>
      </c>
      <c r="C16" s="6" t="str">
        <f t="shared" si="1"/>
        <v>https://www.nytimes.com/interactive/2026/04/10/upshot/flashback.html</v>
      </c>
      <c r="D16" s="4" t="str">
        <f t="shared" si="2"/>
        <v/>
      </c>
    </row>
    <row r="17">
      <c r="A17" s="3">
        <f t="shared" si="3"/>
        <v>46129</v>
      </c>
      <c r="B17" s="4">
        <f>IF(AND(Puntajes!C17=0,SUM(Puntajes!B17:F17)&gt;0),1,0)</f>
        <v>0</v>
      </c>
      <c r="C17" s="6" t="str">
        <f t="shared" si="1"/>
        <v>https://www.nytimes.com/interactive/2026/04/17/upshot/flashback.html</v>
      </c>
      <c r="D17" s="4" t="str">
        <f t="shared" si="2"/>
        <v/>
      </c>
    </row>
    <row r="18">
      <c r="A18" s="3">
        <f t="shared" si="3"/>
        <v>46136</v>
      </c>
      <c r="B18" s="4">
        <f>IF(AND(Puntajes!C18=0,SUM(Puntajes!B18:F18)&gt;0),1,0)</f>
        <v>0</v>
      </c>
      <c r="C18" s="6" t="str">
        <f t="shared" si="1"/>
        <v>https://www.nytimes.com/interactive/2026/04/24/upshot/flashback.html</v>
      </c>
      <c r="D18" s="4" t="str">
        <f t="shared" si="2"/>
        <v/>
      </c>
    </row>
    <row r="19">
      <c r="A19" s="3">
        <f t="shared" si="3"/>
        <v>46143</v>
      </c>
      <c r="B19" s="4">
        <f>IF(AND(Puntajes!C19=0,SUM(Puntajes!B19:F19)&gt;0),1,0)</f>
        <v>0</v>
      </c>
      <c r="C19" s="6" t="str">
        <f t="shared" si="1"/>
        <v>https://www.nytimes.com/interactive/2026/05/01/upshot/flashback.html</v>
      </c>
      <c r="D19" s="4" t="str">
        <f t="shared" si="2"/>
        <v/>
      </c>
    </row>
    <row r="20">
      <c r="A20" s="3">
        <f t="shared" si="3"/>
        <v>46150</v>
      </c>
      <c r="B20" s="4">
        <f>IF(AND(Puntajes!C20=0,SUM(Puntajes!B20:F20)&gt;0),1,0)</f>
        <v>0</v>
      </c>
      <c r="C20" s="6" t="str">
        <f t="shared" si="1"/>
        <v>https://www.nytimes.com/interactive/2026/05/08/upshot/flashback.html</v>
      </c>
      <c r="D20" s="4" t="str">
        <f t="shared" si="2"/>
        <v/>
      </c>
    </row>
    <row r="21">
      <c r="A21" s="3">
        <f t="shared" si="3"/>
        <v>46157</v>
      </c>
      <c r="B21" s="4">
        <f>IF(AND(Puntajes!C21=0,SUM(Puntajes!B21:F21)&gt;0),1,0)</f>
        <v>0</v>
      </c>
      <c r="C21" s="6" t="str">
        <f t="shared" si="1"/>
        <v>https://www.nytimes.com/interactive/2026/05/15/upshot/flashback.html</v>
      </c>
      <c r="D21" s="4" t="str">
        <f t="shared" si="2"/>
        <v/>
      </c>
    </row>
    <row r="22">
      <c r="A22" s="3">
        <f t="shared" si="3"/>
        <v>46164</v>
      </c>
      <c r="B22" s="4">
        <f>IF(AND(Puntajes!C22=0,SUM(Puntajes!B22:F22)&gt;0),1,0)</f>
        <v>0</v>
      </c>
      <c r="C22" s="6" t="str">
        <f t="shared" si="1"/>
        <v>https://www.nytimes.com/interactive/2026/05/22/upshot/flashback.html</v>
      </c>
      <c r="D22" s="4" t="str">
        <f t="shared" si="2"/>
        <v/>
      </c>
    </row>
    <row r="23">
      <c r="A23" s="3">
        <f t="shared" si="3"/>
        <v>46171</v>
      </c>
      <c r="B23" s="4">
        <f>IF(AND(Puntajes!C23=0,SUM(Puntajes!B23:F23)&gt;0),1,0)</f>
        <v>0</v>
      </c>
      <c r="C23" s="6" t="str">
        <f t="shared" si="1"/>
        <v>https://www.nytimes.com/interactive/2026/05/29/upshot/flashback.html</v>
      </c>
      <c r="D23" s="4" t="str">
        <f t="shared" si="2"/>
        <v/>
      </c>
    </row>
    <row r="24">
      <c r="A24" s="3">
        <f t="shared" si="3"/>
        <v>46178</v>
      </c>
      <c r="B24" s="4">
        <f>IF(AND(Puntajes!C24=0,SUM(Puntajes!B24:F24)&gt;0),1,0)</f>
        <v>0</v>
      </c>
      <c r="C24" s="6" t="str">
        <f t="shared" si="1"/>
        <v>https://www.nytimes.com/interactive/2026/06/05/upshot/flashback.html</v>
      </c>
      <c r="D24" s="4" t="str">
        <f t="shared" si="2"/>
        <v/>
      </c>
    </row>
    <row r="25">
      <c r="A25" s="3">
        <f t="shared" si="3"/>
        <v>46185</v>
      </c>
      <c r="B25" s="4">
        <f>IF(AND(Puntajes!C25=0,SUM(Puntajes!B25:F25)&gt;0),1,0)</f>
        <v>0</v>
      </c>
      <c r="C25" s="6" t="str">
        <f t="shared" si="1"/>
        <v>https://www.nytimes.com/interactive/2026/06/12/upshot/flashback.html</v>
      </c>
      <c r="D25" s="4" t="str">
        <f t="shared" si="2"/>
        <v/>
      </c>
    </row>
    <row r="26">
      <c r="A26" s="3">
        <f t="shared" si="3"/>
        <v>46192</v>
      </c>
      <c r="B26" s="4">
        <f>IF(AND(Puntajes!C26=0,SUM(Puntajes!B26:F26)&gt;0),1,0)</f>
        <v>0</v>
      </c>
      <c r="C26" s="6" t="str">
        <f t="shared" si="1"/>
        <v>https://www.nytimes.com/interactive/2026/06/19/upshot/flashback.html</v>
      </c>
      <c r="D26" s="4" t="str">
        <f t="shared" si="2"/>
        <v/>
      </c>
    </row>
    <row r="27">
      <c r="A27" s="3">
        <f t="shared" si="3"/>
        <v>46199</v>
      </c>
      <c r="B27" s="4">
        <f>IF(AND(Puntajes!C27=0,SUM(Puntajes!B27:F27)&gt;0),1,0)</f>
        <v>0</v>
      </c>
      <c r="C27" s="6" t="str">
        <f t="shared" si="1"/>
        <v>https://www.nytimes.com/interactive/2026/06/26/upshot/flashback.html</v>
      </c>
      <c r="D27" s="4" t="str">
        <f t="shared" si="2"/>
        <v/>
      </c>
    </row>
    <row r="28">
      <c r="A28" s="3">
        <f t="shared" si="3"/>
        <v>46206</v>
      </c>
      <c r="B28" s="4">
        <f>IF(AND(Puntajes!C28=0,SUM(Puntajes!B28:F28)&gt;0),1,0)</f>
        <v>0</v>
      </c>
      <c r="C28" s="6" t="str">
        <f t="shared" si="1"/>
        <v>https://www.nytimes.com/interactive/2026/07/03/upshot/flashback.html</v>
      </c>
      <c r="D28" s="4" t="str">
        <f t="shared" si="2"/>
        <v/>
      </c>
    </row>
    <row r="29">
      <c r="A29" s="3">
        <f t="shared" si="3"/>
        <v>46213</v>
      </c>
      <c r="B29" s="4">
        <f>IF(AND(Puntajes!C29=0,SUM(Puntajes!B29:F29)&gt;0),1,0)</f>
        <v>0</v>
      </c>
      <c r="C29" s="6" t="str">
        <f t="shared" si="1"/>
        <v>https://www.nytimes.com/interactive/2026/07/10/upshot/flashback.html</v>
      </c>
      <c r="D29" s="4" t="str">
        <f t="shared" si="2"/>
        <v/>
      </c>
    </row>
    <row r="30">
      <c r="A30" s="3">
        <f t="shared" si="3"/>
        <v>46220</v>
      </c>
      <c r="B30" s="4">
        <f>IF(AND(Puntajes!C30=0,SUM(Puntajes!B30:F30)&gt;0),1,0)</f>
        <v>0</v>
      </c>
      <c r="C30" s="6" t="str">
        <f t="shared" si="1"/>
        <v>https://www.nytimes.com/interactive/2026/07/17/upshot/flashback.html</v>
      </c>
      <c r="D30" s="4" t="str">
        <f t="shared" si="2"/>
        <v/>
      </c>
    </row>
    <row r="31">
      <c r="A31" s="3">
        <f t="shared" si="3"/>
        <v>46227</v>
      </c>
      <c r="B31" s="4">
        <f>IF(AND(Puntajes!C31=0,SUM(Puntajes!B31:F31)&gt;0),1,0)</f>
        <v>0</v>
      </c>
      <c r="C31" s="6" t="str">
        <f t="shared" si="1"/>
        <v>https://www.nytimes.com/interactive/2026/07/24/upshot/flashback.html</v>
      </c>
      <c r="D31" s="4" t="str">
        <f t="shared" si="2"/>
        <v/>
      </c>
    </row>
    <row r="32">
      <c r="A32" s="3">
        <f t="shared" si="3"/>
        <v>46234</v>
      </c>
      <c r="B32" s="4">
        <f>IF(AND(Puntajes!C32=0,SUM(Puntajes!B32:F32)&gt;0),1,0)</f>
        <v>0</v>
      </c>
      <c r="C32" s="6" t="str">
        <f t="shared" si="1"/>
        <v>https://www.nytimes.com/interactive/2026/07/31/upshot/flashback.html</v>
      </c>
      <c r="D32" s="4" t="str">
        <f t="shared" si="2"/>
        <v/>
      </c>
    </row>
    <row r="33">
      <c r="A33" s="3">
        <f t="shared" si="3"/>
        <v>46241</v>
      </c>
      <c r="B33" s="4">
        <f>IF(AND(Puntajes!C33=0,SUM(Puntajes!B33:F33)&gt;0),1,0)</f>
        <v>0</v>
      </c>
      <c r="C33" s="6" t="str">
        <f t="shared" si="1"/>
        <v>https://www.nytimes.com/interactive/2026/08/07/upshot/flashback.html</v>
      </c>
      <c r="D33" s="4" t="str">
        <f t="shared" si="2"/>
        <v/>
      </c>
    </row>
    <row r="34">
      <c r="A34" s="3">
        <f t="shared" si="3"/>
        <v>46248</v>
      </c>
      <c r="B34" s="4">
        <f>IF(AND(Puntajes!C34=0,SUM(Puntajes!B34:F34)&gt;0),1,0)</f>
        <v>0</v>
      </c>
      <c r="C34" s="6" t="str">
        <f t="shared" si="1"/>
        <v>https://www.nytimes.com/interactive/2026/08/14/upshot/flashback.html</v>
      </c>
      <c r="D34" s="4" t="str">
        <f t="shared" si="2"/>
        <v/>
      </c>
    </row>
    <row r="35">
      <c r="A35" s="3">
        <f t="shared" si="3"/>
        <v>46255</v>
      </c>
      <c r="B35" s="4">
        <f>IF(AND(Puntajes!C35=0,SUM(Puntajes!B35:F35)&gt;0),1,0)</f>
        <v>1</v>
      </c>
      <c r="C35" s="6" t="str">
        <f t="shared" si="1"/>
        <v>https://www.nytimes.com/interactive/2026/08/21/upshot/flashback.html</v>
      </c>
      <c r="D35" s="6" t="str">
        <f t="shared" si="2"/>
        <v>https://www.nytimes.com/interactive/2026/08/21/upshot/flashback.html</v>
      </c>
    </row>
    <row r="36">
      <c r="A36" s="3">
        <f t="shared" si="3"/>
        <v>46262</v>
      </c>
      <c r="B36" s="4">
        <f>IF(AND(Puntajes!C36=0,SUM(Puntajes!B36:F36)&gt;0),1,0)</f>
        <v>0</v>
      </c>
      <c r="C36" s="6" t="str">
        <f t="shared" si="1"/>
        <v>https://www.nytimes.com/interactive/2026/08/28/upshot/flashback.html</v>
      </c>
      <c r="D36" s="4" t="str">
        <f t="shared" si="2"/>
        <v/>
      </c>
    </row>
    <row r="37">
      <c r="A37" s="3">
        <f t="shared" si="3"/>
        <v>46269</v>
      </c>
      <c r="B37" s="4">
        <f>IF(AND(Puntajes!C37=0,SUM(Puntajes!B37:F37)&gt;0),1,0)</f>
        <v>0</v>
      </c>
      <c r="C37" s="6" t="str">
        <f t="shared" si="1"/>
        <v>https://www.nytimes.com/interactive/2026/09/04/upshot/flashback.html</v>
      </c>
      <c r="D37" s="4" t="str">
        <f t="shared" si="2"/>
        <v/>
      </c>
    </row>
    <row r="38">
      <c r="A38" s="3">
        <f t="shared" si="3"/>
        <v>46276</v>
      </c>
      <c r="B38" s="4">
        <f>IF(AND(Puntajes!C38=0,SUM(Puntajes!B38:F38)&gt;0),1,0)</f>
        <v>0</v>
      </c>
      <c r="C38" s="6" t="str">
        <f t="shared" si="1"/>
        <v>https://www.nytimes.com/interactive/2026/09/11/upshot/flashback.html</v>
      </c>
      <c r="D38" s="4" t="str">
        <f t="shared" si="2"/>
        <v/>
      </c>
    </row>
    <row r="39">
      <c r="A39" s="3">
        <f t="shared" si="3"/>
        <v>46283</v>
      </c>
      <c r="B39" s="4">
        <f>IF(AND(Puntajes!C39=0,SUM(Puntajes!B39:F39)&gt;0),1,0)</f>
        <v>0</v>
      </c>
      <c r="C39" s="6" t="str">
        <f t="shared" si="1"/>
        <v>https://www.nytimes.com/interactive/2026/09/18/upshot/flashback.html</v>
      </c>
      <c r="D39" s="4" t="str">
        <f t="shared" si="2"/>
        <v/>
      </c>
    </row>
    <row r="40">
      <c r="A40" s="3">
        <f t="shared" si="3"/>
        <v>46290</v>
      </c>
      <c r="B40" s="4">
        <f>IF(AND(Puntajes!C40=0,SUM(Puntajes!B40:F40)&gt;0),1,0)</f>
        <v>0</v>
      </c>
      <c r="C40" s="6" t="str">
        <f t="shared" si="1"/>
        <v>https://www.nytimes.com/interactive/2026/09/25/upshot/flashback.html</v>
      </c>
      <c r="D40" s="4" t="str">
        <f t="shared" si="2"/>
        <v/>
      </c>
    </row>
    <row r="41">
      <c r="A41" s="3">
        <f t="shared" si="3"/>
        <v>46297</v>
      </c>
      <c r="B41" s="4">
        <f>IF(AND(Puntajes!C41=0,SUM(Puntajes!B41:F41)&gt;0),1,0)</f>
        <v>0</v>
      </c>
      <c r="C41" s="6" t="str">
        <f t="shared" si="1"/>
        <v>https://www.nytimes.com/interactive/2026/10/02/upshot/flashback.html</v>
      </c>
      <c r="D41" s="4" t="str">
        <f t="shared" si="2"/>
        <v/>
      </c>
    </row>
    <row r="42">
      <c r="A42" s="3">
        <f t="shared" si="3"/>
        <v>46304</v>
      </c>
      <c r="B42" s="4">
        <f>IF(AND(Puntajes!C42=0,SUM(Puntajes!B42:F42)&gt;0),1,0)</f>
        <v>0</v>
      </c>
      <c r="C42" s="6" t="str">
        <f t="shared" si="1"/>
        <v>https://www.nytimes.com/interactive/2026/10/09/upshot/flashback.html</v>
      </c>
      <c r="D42" s="4" t="str">
        <f t="shared" si="2"/>
        <v/>
      </c>
    </row>
    <row r="43">
      <c r="A43" s="3">
        <f t="shared" si="3"/>
        <v>46311</v>
      </c>
      <c r="B43" s="4">
        <f>IF(AND(Puntajes!C43=0,SUM(Puntajes!B43:F43)&gt;0),1,0)</f>
        <v>0</v>
      </c>
      <c r="C43" s="6" t="str">
        <f t="shared" si="1"/>
        <v>https://www.nytimes.com/interactive/2026/10/16/upshot/flashback.html</v>
      </c>
      <c r="D43" s="4" t="str">
        <f t="shared" si="2"/>
        <v/>
      </c>
    </row>
    <row r="44">
      <c r="A44" s="3">
        <f t="shared" si="3"/>
        <v>46318</v>
      </c>
      <c r="B44" s="4">
        <f>IF(AND(Puntajes!C44=0,SUM(Puntajes!B44:F44)&gt;0),1,0)</f>
        <v>0</v>
      </c>
      <c r="C44" s="6" t="str">
        <f t="shared" si="1"/>
        <v>https://www.nytimes.com/interactive/2026/10/23/upshot/flashback.html</v>
      </c>
      <c r="D44" s="4" t="str">
        <f t="shared" si="2"/>
        <v/>
      </c>
    </row>
    <row r="45">
      <c r="A45" s="3">
        <f t="shared" si="3"/>
        <v>46325</v>
      </c>
      <c r="B45" s="4">
        <f>IF(AND(Puntajes!C45=0,SUM(Puntajes!B45:F45)&gt;0),1,0)</f>
        <v>0</v>
      </c>
      <c r="C45" s="6" t="str">
        <f t="shared" si="1"/>
        <v>https://www.nytimes.com/interactive/2026/10/30/upshot/flashback.html</v>
      </c>
      <c r="D45" s="4" t="str">
        <f t="shared" si="2"/>
        <v/>
      </c>
    </row>
    <row r="46">
      <c r="A46" s="3">
        <f t="shared" si="3"/>
        <v>46332</v>
      </c>
      <c r="B46" s="4">
        <f>IF(AND(Puntajes!C46=0,SUM(Puntajes!B46:F46)&gt;0),1,0)</f>
        <v>0</v>
      </c>
      <c r="C46" s="6" t="str">
        <f t="shared" si="1"/>
        <v>https://www.nytimes.com/interactive/2026/11/06/upshot/flashback.html</v>
      </c>
      <c r="D46" s="4" t="str">
        <f t="shared" si="2"/>
        <v/>
      </c>
    </row>
    <row r="47">
      <c r="A47" s="3">
        <f t="shared" si="3"/>
        <v>46339</v>
      </c>
      <c r="B47" s="4">
        <f>IF(AND(Puntajes!C47=0,SUM(Puntajes!B47:F47)&gt;0),1,0)</f>
        <v>0</v>
      </c>
      <c r="C47" s="6" t="str">
        <f t="shared" si="1"/>
        <v>https://www.nytimes.com/interactive/2026/11/13/upshot/flashback.html</v>
      </c>
      <c r="D47" s="4" t="str">
        <f t="shared" si="2"/>
        <v/>
      </c>
    </row>
    <row r="48">
      <c r="A48" s="3">
        <f t="shared" si="3"/>
        <v>46346</v>
      </c>
      <c r="B48" s="4">
        <f>IF(AND(Puntajes!C48=0,SUM(Puntajes!B48:F48)&gt;0),1,0)</f>
        <v>0</v>
      </c>
      <c r="C48" s="6" t="str">
        <f t="shared" si="1"/>
        <v>https://www.nytimes.com/interactive/2026/11/20/upshot/flashback.html</v>
      </c>
      <c r="D48" s="4" t="str">
        <f t="shared" si="2"/>
        <v/>
      </c>
    </row>
    <row r="49">
      <c r="A49" s="3">
        <f t="shared" si="3"/>
        <v>46353</v>
      </c>
      <c r="B49" s="4">
        <f>IF(AND(Puntajes!C49=0,SUM(Puntajes!B49:F49)&gt;0),1,0)</f>
        <v>0</v>
      </c>
      <c r="C49" s="6" t="str">
        <f t="shared" si="1"/>
        <v>https://www.nytimes.com/interactive/2026/11/27/upshot/flashback.html</v>
      </c>
      <c r="D49" s="4" t="str">
        <f t="shared" si="2"/>
        <v/>
      </c>
    </row>
    <row r="50">
      <c r="A50" s="3">
        <f t="shared" si="3"/>
        <v>46360</v>
      </c>
      <c r="B50" s="4">
        <f>IF(AND(Puntajes!C50=0,SUM(Puntajes!B50:F50)&gt;0),1,0)</f>
        <v>0</v>
      </c>
      <c r="C50" s="6" t="str">
        <f t="shared" si="1"/>
        <v>https://www.nytimes.com/interactive/2026/12/04/upshot/flashback.html</v>
      </c>
      <c r="D50" s="4" t="str">
        <f t="shared" si="2"/>
        <v/>
      </c>
    </row>
    <row r="51">
      <c r="A51" s="3">
        <f t="shared" si="3"/>
        <v>46367</v>
      </c>
      <c r="B51" s="4">
        <f>IF(AND(Puntajes!C51=0,SUM(Puntajes!B51:F51)&gt;0),1,0)</f>
        <v>0</v>
      </c>
      <c r="C51" s="6" t="str">
        <f t="shared" si="1"/>
        <v>https://www.nytimes.com/interactive/2026/12/11/upshot/flashback.html</v>
      </c>
      <c r="D51" s="4" t="str">
        <f t="shared" si="2"/>
        <v/>
      </c>
    </row>
    <row r="52">
      <c r="A52" s="3">
        <f t="shared" si="3"/>
        <v>46374</v>
      </c>
      <c r="B52" s="4">
        <f>IF(AND(Puntajes!C52=0,SUM(Puntajes!B52:F52)&gt;0),1,0)</f>
        <v>0</v>
      </c>
      <c r="C52" s="6" t="str">
        <f t="shared" si="1"/>
        <v>https://www.nytimes.com/interactive/2026/12/18/upshot/flashback.html</v>
      </c>
      <c r="D52" s="4" t="str">
        <f t="shared" si="2"/>
        <v/>
      </c>
    </row>
    <row r="53">
      <c r="A53" s="3">
        <f t="shared" si="3"/>
        <v>46381</v>
      </c>
      <c r="B53" s="4">
        <f>IF(AND(Puntajes!C53=0,SUM(Puntajes!B53:F53)&gt;0),1,0)</f>
        <v>0</v>
      </c>
      <c r="C53" s="6" t="str">
        <f t="shared" si="1"/>
        <v>https://www.nytimes.com/interactive/2026/12/25/upshot/flashback.html</v>
      </c>
      <c r="D53" s="4" t="str">
        <f t="shared" si="2"/>
        <v/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1.88"/>
  </cols>
  <sheetData>
    <row r="1">
      <c r="A1" s="1" t="s">
        <v>0</v>
      </c>
      <c r="B1" s="1" t="s">
        <v>13</v>
      </c>
      <c r="C1" s="1" t="s">
        <v>10</v>
      </c>
      <c r="D1" s="1" t="s">
        <v>11</v>
      </c>
    </row>
    <row r="2">
      <c r="A2" s="3">
        <v>46024.0</v>
      </c>
      <c r="B2" s="4">
        <f>IF(AND(Puntajes!D2=0,SUM(Puntajes!B2:F2)&gt;0),1,0)</f>
        <v>0</v>
      </c>
      <c r="C2" s="6" t="str">
        <f t="shared" ref="C2:C53" si="1">CONCATENATE("https://www.nytimes.com/interactive/", YEAR(A2), "/", TEXT(MONTH(A2), "00"), "/", TEXT(DAY(A2), "00"), "/upshot/flashback.html")</f>
        <v>https://www.nytimes.com/interactive/2026/01/02/upshot/flashback.html</v>
      </c>
      <c r="D2" s="4" t="str">
        <f t="shared" ref="D2:D53" si="2">IF(B2=1,C2,"")</f>
        <v/>
      </c>
    </row>
    <row r="3">
      <c r="A3" s="3">
        <f t="shared" ref="A3:A53" si="3">A2+7</f>
        <v>46031</v>
      </c>
      <c r="B3" s="4">
        <f>IF(AND(Puntajes!D3=0,SUM(Puntajes!B3:F3)&gt;0),1,0)</f>
        <v>0</v>
      </c>
      <c r="C3" s="6" t="str">
        <f t="shared" si="1"/>
        <v>https://www.nytimes.com/interactive/2026/01/09/upshot/flashback.html</v>
      </c>
      <c r="D3" s="4" t="str">
        <f t="shared" si="2"/>
        <v/>
      </c>
    </row>
    <row r="4">
      <c r="A4" s="3">
        <f t="shared" si="3"/>
        <v>46038</v>
      </c>
      <c r="B4" s="4">
        <f>IF(AND(Puntajes!D4=0,SUM(Puntajes!B4:F4)&gt;0),1,0)</f>
        <v>0</v>
      </c>
      <c r="C4" s="6" t="str">
        <f t="shared" si="1"/>
        <v>https://www.nytimes.com/interactive/2026/01/16/upshot/flashback.html</v>
      </c>
      <c r="D4" s="4" t="str">
        <f t="shared" si="2"/>
        <v/>
      </c>
    </row>
    <row r="5">
      <c r="A5" s="3">
        <f t="shared" si="3"/>
        <v>46045</v>
      </c>
      <c r="B5" s="4">
        <f>IF(AND(Puntajes!D5=0,SUM(Puntajes!B5:F5)&gt;0),1,0)</f>
        <v>0</v>
      </c>
      <c r="C5" s="6" t="str">
        <f t="shared" si="1"/>
        <v>https://www.nytimes.com/interactive/2026/01/23/upshot/flashback.html</v>
      </c>
      <c r="D5" s="4" t="str">
        <f t="shared" si="2"/>
        <v/>
      </c>
    </row>
    <row r="6">
      <c r="A6" s="3">
        <f t="shared" si="3"/>
        <v>46052</v>
      </c>
      <c r="B6" s="4">
        <f>IF(AND(Puntajes!D6=0,SUM(Puntajes!B6:F6)&gt;0),1,0)</f>
        <v>0</v>
      </c>
      <c r="C6" s="6" t="str">
        <f t="shared" si="1"/>
        <v>https://www.nytimes.com/interactive/2026/01/30/upshot/flashback.html</v>
      </c>
      <c r="D6" s="4" t="str">
        <f t="shared" si="2"/>
        <v/>
      </c>
    </row>
    <row r="7">
      <c r="A7" s="3">
        <f t="shared" si="3"/>
        <v>46059</v>
      </c>
      <c r="B7" s="4">
        <f>IF(AND(Puntajes!D7=0,SUM(Puntajes!B7:F7)&gt;0),1,0)</f>
        <v>0</v>
      </c>
      <c r="C7" s="6" t="str">
        <f t="shared" si="1"/>
        <v>https://www.nytimes.com/interactive/2026/02/06/upshot/flashback.html</v>
      </c>
      <c r="D7" s="4" t="str">
        <f t="shared" si="2"/>
        <v/>
      </c>
    </row>
    <row r="8">
      <c r="A8" s="3">
        <f t="shared" si="3"/>
        <v>46066</v>
      </c>
      <c r="B8" s="4">
        <f>IF(AND(Puntajes!D8=0,SUM(Puntajes!B8:F8)&gt;0),1,0)</f>
        <v>0</v>
      </c>
      <c r="C8" s="6" t="str">
        <f t="shared" si="1"/>
        <v>https://www.nytimes.com/interactive/2026/02/13/upshot/flashback.html</v>
      </c>
      <c r="D8" s="4" t="str">
        <f t="shared" si="2"/>
        <v/>
      </c>
    </row>
    <row r="9">
      <c r="A9" s="3">
        <f t="shared" si="3"/>
        <v>46073</v>
      </c>
      <c r="B9" s="4">
        <f>IF(AND(Puntajes!D9=0,SUM(Puntajes!B9:F9)&gt;0),1,0)</f>
        <v>0</v>
      </c>
      <c r="C9" s="6" t="str">
        <f t="shared" si="1"/>
        <v>https://www.nytimes.com/interactive/2026/02/20/upshot/flashback.html</v>
      </c>
      <c r="D9" s="4" t="str">
        <f t="shared" si="2"/>
        <v/>
      </c>
    </row>
    <row r="10">
      <c r="A10" s="3">
        <f t="shared" si="3"/>
        <v>46080</v>
      </c>
      <c r="B10" s="4">
        <f>IF(AND(Puntajes!D10=0,SUM(Puntajes!B10:F10)&gt;0),1,0)</f>
        <v>0</v>
      </c>
      <c r="C10" s="6" t="str">
        <f t="shared" si="1"/>
        <v>https://www.nytimes.com/interactive/2026/02/27/upshot/flashback.html</v>
      </c>
      <c r="D10" s="4" t="str">
        <f t="shared" si="2"/>
        <v/>
      </c>
    </row>
    <row r="11">
      <c r="A11" s="3">
        <f t="shared" si="3"/>
        <v>46087</v>
      </c>
      <c r="B11" s="4">
        <f>IF(AND(Puntajes!D11=0,SUM(Puntajes!B11:F11)&gt;0),1,0)</f>
        <v>0</v>
      </c>
      <c r="C11" s="6" t="str">
        <f t="shared" si="1"/>
        <v>https://www.nytimes.com/interactive/2026/03/06/upshot/flashback.html</v>
      </c>
      <c r="D11" s="4" t="str">
        <f t="shared" si="2"/>
        <v/>
      </c>
    </row>
    <row r="12">
      <c r="A12" s="3">
        <f t="shared" si="3"/>
        <v>46094</v>
      </c>
      <c r="B12" s="4">
        <f>IF(AND(Puntajes!D12=0,SUM(Puntajes!B12:F12)&gt;0),1,0)</f>
        <v>0</v>
      </c>
      <c r="C12" s="6" t="str">
        <f t="shared" si="1"/>
        <v>https://www.nytimes.com/interactive/2026/03/13/upshot/flashback.html</v>
      </c>
      <c r="D12" s="4" t="str">
        <f t="shared" si="2"/>
        <v/>
      </c>
    </row>
    <row r="13">
      <c r="A13" s="3">
        <f t="shared" si="3"/>
        <v>46101</v>
      </c>
      <c r="B13" s="4">
        <f>IF(AND(Puntajes!D13=0,SUM(Puntajes!B13:F13)&gt;0),1,0)</f>
        <v>0</v>
      </c>
      <c r="C13" s="6" t="str">
        <f t="shared" si="1"/>
        <v>https://www.nytimes.com/interactive/2026/03/20/upshot/flashback.html</v>
      </c>
      <c r="D13" s="4" t="str">
        <f t="shared" si="2"/>
        <v/>
      </c>
    </row>
    <row r="14">
      <c r="A14" s="3">
        <f t="shared" si="3"/>
        <v>46108</v>
      </c>
      <c r="B14" s="4">
        <f>IF(AND(Puntajes!D14=0,SUM(Puntajes!B14:F14)&gt;0),1,0)</f>
        <v>0</v>
      </c>
      <c r="C14" s="6" t="str">
        <f t="shared" si="1"/>
        <v>https://www.nytimes.com/interactive/2026/03/27/upshot/flashback.html</v>
      </c>
      <c r="D14" s="4" t="str">
        <f t="shared" si="2"/>
        <v/>
      </c>
    </row>
    <row r="15">
      <c r="A15" s="3">
        <f t="shared" si="3"/>
        <v>46115</v>
      </c>
      <c r="B15" s="4">
        <f>IF(AND(Puntajes!D15=0,SUM(Puntajes!B15:F15)&gt;0),1,0)</f>
        <v>0</v>
      </c>
      <c r="C15" s="6" t="str">
        <f t="shared" si="1"/>
        <v>https://www.nytimes.com/interactive/2026/04/03/upshot/flashback.html</v>
      </c>
      <c r="D15" s="4" t="str">
        <f t="shared" si="2"/>
        <v/>
      </c>
    </row>
    <row r="16">
      <c r="A16" s="3">
        <f t="shared" si="3"/>
        <v>46122</v>
      </c>
      <c r="B16" s="4">
        <f>IF(AND(Puntajes!D16=0,SUM(Puntajes!B16:F16)&gt;0),1,0)</f>
        <v>0</v>
      </c>
      <c r="C16" s="6" t="str">
        <f t="shared" si="1"/>
        <v>https://www.nytimes.com/interactive/2026/04/10/upshot/flashback.html</v>
      </c>
      <c r="D16" s="4" t="str">
        <f t="shared" si="2"/>
        <v/>
      </c>
    </row>
    <row r="17">
      <c r="A17" s="3">
        <f t="shared" si="3"/>
        <v>46129</v>
      </c>
      <c r="B17" s="4">
        <f>IF(AND(Puntajes!D17=0,SUM(Puntajes!B17:F17)&gt;0),1,0)</f>
        <v>0</v>
      </c>
      <c r="C17" s="6" t="str">
        <f t="shared" si="1"/>
        <v>https://www.nytimes.com/interactive/2026/04/17/upshot/flashback.html</v>
      </c>
      <c r="D17" s="4" t="str">
        <f t="shared" si="2"/>
        <v/>
      </c>
    </row>
    <row r="18">
      <c r="A18" s="3">
        <f t="shared" si="3"/>
        <v>46136</v>
      </c>
      <c r="B18" s="4">
        <f>IF(AND(Puntajes!D18=0,SUM(Puntajes!B18:F18)&gt;0),1,0)</f>
        <v>0</v>
      </c>
      <c r="C18" s="6" t="str">
        <f t="shared" si="1"/>
        <v>https://www.nytimes.com/interactive/2026/04/24/upshot/flashback.html</v>
      </c>
      <c r="D18" s="4" t="str">
        <f t="shared" si="2"/>
        <v/>
      </c>
    </row>
    <row r="19">
      <c r="A19" s="3">
        <f t="shared" si="3"/>
        <v>46143</v>
      </c>
      <c r="B19" s="4">
        <f>IF(AND(Puntajes!D19=0,SUM(Puntajes!B19:F19)&gt;0),1,0)</f>
        <v>0</v>
      </c>
      <c r="C19" s="6" t="str">
        <f t="shared" si="1"/>
        <v>https://www.nytimes.com/interactive/2026/05/01/upshot/flashback.html</v>
      </c>
      <c r="D19" s="4" t="str">
        <f t="shared" si="2"/>
        <v/>
      </c>
    </row>
    <row r="20">
      <c r="A20" s="3">
        <f t="shared" si="3"/>
        <v>46150</v>
      </c>
      <c r="B20" s="4">
        <f>IF(AND(Puntajes!D20=0,SUM(Puntajes!B20:F20)&gt;0),1,0)</f>
        <v>0</v>
      </c>
      <c r="C20" s="6" t="str">
        <f t="shared" si="1"/>
        <v>https://www.nytimes.com/interactive/2026/05/08/upshot/flashback.html</v>
      </c>
      <c r="D20" s="4" t="str">
        <f t="shared" si="2"/>
        <v/>
      </c>
    </row>
    <row r="21">
      <c r="A21" s="3">
        <f t="shared" si="3"/>
        <v>46157</v>
      </c>
      <c r="B21" s="4">
        <f>IF(AND(Puntajes!D21=0,SUM(Puntajes!B21:F21)&gt;0),1,0)</f>
        <v>0</v>
      </c>
      <c r="C21" s="6" t="str">
        <f t="shared" si="1"/>
        <v>https://www.nytimes.com/interactive/2026/05/15/upshot/flashback.html</v>
      </c>
      <c r="D21" s="4" t="str">
        <f t="shared" si="2"/>
        <v/>
      </c>
    </row>
    <row r="22">
      <c r="A22" s="3">
        <f t="shared" si="3"/>
        <v>46164</v>
      </c>
      <c r="B22" s="4">
        <f>IF(AND(Puntajes!D22=0,SUM(Puntajes!B22:F22)&gt;0),1,0)</f>
        <v>0</v>
      </c>
      <c r="C22" s="6" t="str">
        <f t="shared" si="1"/>
        <v>https://www.nytimes.com/interactive/2026/05/22/upshot/flashback.html</v>
      </c>
      <c r="D22" s="4" t="str">
        <f t="shared" si="2"/>
        <v/>
      </c>
    </row>
    <row r="23">
      <c r="A23" s="3">
        <f t="shared" si="3"/>
        <v>46171</v>
      </c>
      <c r="B23" s="4">
        <f>IF(AND(Puntajes!D23=0,SUM(Puntajes!B23:F23)&gt;0),1,0)</f>
        <v>0</v>
      </c>
      <c r="C23" s="6" t="str">
        <f t="shared" si="1"/>
        <v>https://www.nytimes.com/interactive/2026/05/29/upshot/flashback.html</v>
      </c>
      <c r="D23" s="4" t="str">
        <f t="shared" si="2"/>
        <v/>
      </c>
    </row>
    <row r="24">
      <c r="A24" s="3">
        <f t="shared" si="3"/>
        <v>46178</v>
      </c>
      <c r="B24" s="4">
        <f>IF(AND(Puntajes!D24=0,SUM(Puntajes!B24:F24)&gt;0),1,0)</f>
        <v>0</v>
      </c>
      <c r="C24" s="6" t="str">
        <f t="shared" si="1"/>
        <v>https://www.nytimes.com/interactive/2026/06/05/upshot/flashback.html</v>
      </c>
      <c r="D24" s="4" t="str">
        <f t="shared" si="2"/>
        <v/>
      </c>
    </row>
    <row r="25">
      <c r="A25" s="3">
        <f t="shared" si="3"/>
        <v>46185</v>
      </c>
      <c r="B25" s="4">
        <f>IF(AND(Puntajes!D25=0,SUM(Puntajes!B25:F25)&gt;0),1,0)</f>
        <v>0</v>
      </c>
      <c r="C25" s="6" t="str">
        <f t="shared" si="1"/>
        <v>https://www.nytimes.com/interactive/2026/06/12/upshot/flashback.html</v>
      </c>
      <c r="D25" s="4" t="str">
        <f t="shared" si="2"/>
        <v/>
      </c>
    </row>
    <row r="26">
      <c r="A26" s="3">
        <f t="shared" si="3"/>
        <v>46192</v>
      </c>
      <c r="B26" s="4">
        <f>IF(AND(Puntajes!D26=0,SUM(Puntajes!B26:F26)&gt;0),1,0)</f>
        <v>0</v>
      </c>
      <c r="C26" s="6" t="str">
        <f t="shared" si="1"/>
        <v>https://www.nytimes.com/interactive/2026/06/19/upshot/flashback.html</v>
      </c>
      <c r="D26" s="4" t="str">
        <f t="shared" si="2"/>
        <v/>
      </c>
    </row>
    <row r="27">
      <c r="A27" s="3">
        <f t="shared" si="3"/>
        <v>46199</v>
      </c>
      <c r="B27" s="4">
        <f>IF(AND(Puntajes!D27=0,SUM(Puntajes!B27:F27)&gt;0),1,0)</f>
        <v>0</v>
      </c>
      <c r="C27" s="6" t="str">
        <f t="shared" si="1"/>
        <v>https://www.nytimes.com/interactive/2026/06/26/upshot/flashback.html</v>
      </c>
      <c r="D27" s="4" t="str">
        <f t="shared" si="2"/>
        <v/>
      </c>
    </row>
    <row r="28">
      <c r="A28" s="3">
        <f t="shared" si="3"/>
        <v>46206</v>
      </c>
      <c r="B28" s="4">
        <f>IF(AND(Puntajes!D28=0,SUM(Puntajes!B28:F28)&gt;0),1,0)</f>
        <v>0</v>
      </c>
      <c r="C28" s="6" t="str">
        <f t="shared" si="1"/>
        <v>https://www.nytimes.com/interactive/2026/07/03/upshot/flashback.html</v>
      </c>
      <c r="D28" s="4" t="str">
        <f t="shared" si="2"/>
        <v/>
      </c>
    </row>
    <row r="29">
      <c r="A29" s="3">
        <f t="shared" si="3"/>
        <v>46213</v>
      </c>
      <c r="B29" s="4">
        <f>IF(AND(Puntajes!D29=0,SUM(Puntajes!B29:F29)&gt;0),1,0)</f>
        <v>1</v>
      </c>
      <c r="C29" s="6" t="str">
        <f t="shared" si="1"/>
        <v>https://www.nytimes.com/interactive/2026/07/10/upshot/flashback.html</v>
      </c>
      <c r="D29" s="6" t="str">
        <f t="shared" si="2"/>
        <v>https://www.nytimes.com/interactive/2026/07/10/upshot/flashback.html</v>
      </c>
    </row>
    <row r="30">
      <c r="A30" s="3">
        <f t="shared" si="3"/>
        <v>46220</v>
      </c>
      <c r="B30" s="4">
        <f>IF(AND(Puntajes!D30=0,SUM(Puntajes!B30:F30)&gt;0),1,0)</f>
        <v>1</v>
      </c>
      <c r="C30" s="6" t="str">
        <f t="shared" si="1"/>
        <v>https://www.nytimes.com/interactive/2026/07/17/upshot/flashback.html</v>
      </c>
      <c r="D30" s="6" t="str">
        <f t="shared" si="2"/>
        <v>https://www.nytimes.com/interactive/2026/07/17/upshot/flashback.html</v>
      </c>
    </row>
    <row r="31">
      <c r="A31" s="3">
        <f t="shared" si="3"/>
        <v>46227</v>
      </c>
      <c r="B31" s="4">
        <f>IF(AND(Puntajes!D31=0,SUM(Puntajes!B31:F31)&gt;0),1,0)</f>
        <v>1</v>
      </c>
      <c r="C31" s="6" t="str">
        <f t="shared" si="1"/>
        <v>https://www.nytimes.com/interactive/2026/07/24/upshot/flashback.html</v>
      </c>
      <c r="D31" s="6" t="str">
        <f t="shared" si="2"/>
        <v>https://www.nytimes.com/interactive/2026/07/24/upshot/flashback.html</v>
      </c>
    </row>
    <row r="32">
      <c r="A32" s="3">
        <f t="shared" si="3"/>
        <v>46234</v>
      </c>
      <c r="B32" s="4">
        <f>IF(AND(Puntajes!D32=0,SUM(Puntajes!B32:F32)&gt;0),1,0)</f>
        <v>1</v>
      </c>
      <c r="C32" s="6" t="str">
        <f t="shared" si="1"/>
        <v>https://www.nytimes.com/interactive/2026/07/31/upshot/flashback.html</v>
      </c>
      <c r="D32" s="6" t="str">
        <f t="shared" si="2"/>
        <v>https://www.nytimes.com/interactive/2026/07/31/upshot/flashback.html</v>
      </c>
    </row>
    <row r="33">
      <c r="A33" s="3">
        <f t="shared" si="3"/>
        <v>46241</v>
      </c>
      <c r="B33" s="4">
        <f>IF(AND(Puntajes!D33=0,SUM(Puntajes!B33:F33)&gt;0),1,0)</f>
        <v>1</v>
      </c>
      <c r="C33" s="6" t="str">
        <f t="shared" si="1"/>
        <v>https://www.nytimes.com/interactive/2026/08/07/upshot/flashback.html</v>
      </c>
      <c r="D33" s="6" t="str">
        <f t="shared" si="2"/>
        <v>https://www.nytimes.com/interactive/2026/08/07/upshot/flashback.html</v>
      </c>
    </row>
    <row r="34">
      <c r="A34" s="3">
        <f t="shared" si="3"/>
        <v>46248</v>
      </c>
      <c r="B34" s="4">
        <f>IF(AND(Puntajes!D34=0,SUM(Puntajes!B34:F34)&gt;0),1,0)</f>
        <v>1</v>
      </c>
      <c r="C34" s="6" t="str">
        <f t="shared" si="1"/>
        <v>https://www.nytimes.com/interactive/2026/08/14/upshot/flashback.html</v>
      </c>
      <c r="D34" s="6" t="str">
        <f t="shared" si="2"/>
        <v>https://www.nytimes.com/interactive/2026/08/14/upshot/flashback.html</v>
      </c>
    </row>
    <row r="35">
      <c r="A35" s="3">
        <f t="shared" si="3"/>
        <v>46255</v>
      </c>
      <c r="B35" s="4">
        <f>IF(AND(Puntajes!D35=0,SUM(Puntajes!B35:F35)&gt;0),1,0)</f>
        <v>1</v>
      </c>
      <c r="C35" s="6" t="str">
        <f t="shared" si="1"/>
        <v>https://www.nytimes.com/interactive/2026/08/21/upshot/flashback.html</v>
      </c>
      <c r="D35" s="6" t="str">
        <f t="shared" si="2"/>
        <v>https://www.nytimes.com/interactive/2026/08/21/upshot/flashback.html</v>
      </c>
    </row>
    <row r="36">
      <c r="A36" s="3">
        <f t="shared" si="3"/>
        <v>46262</v>
      </c>
      <c r="B36" s="4">
        <f>IF(AND(Puntajes!D36=0,SUM(Puntajes!B36:F36)&gt;0),1,0)</f>
        <v>0</v>
      </c>
      <c r="C36" s="6" t="str">
        <f t="shared" si="1"/>
        <v>https://www.nytimes.com/interactive/2026/08/28/upshot/flashback.html</v>
      </c>
      <c r="D36" s="4" t="str">
        <f t="shared" si="2"/>
        <v/>
      </c>
    </row>
    <row r="37">
      <c r="A37" s="3">
        <f t="shared" si="3"/>
        <v>46269</v>
      </c>
      <c r="B37" s="4">
        <f>IF(AND(Puntajes!D37=0,SUM(Puntajes!B37:F37)&gt;0),1,0)</f>
        <v>0</v>
      </c>
      <c r="C37" s="6" t="str">
        <f t="shared" si="1"/>
        <v>https://www.nytimes.com/interactive/2026/09/04/upshot/flashback.html</v>
      </c>
      <c r="D37" s="4" t="str">
        <f t="shared" si="2"/>
        <v/>
      </c>
    </row>
    <row r="38">
      <c r="A38" s="3">
        <f t="shared" si="3"/>
        <v>46276</v>
      </c>
      <c r="B38" s="4">
        <f>IF(AND(Puntajes!D38=0,SUM(Puntajes!B38:F38)&gt;0),1,0)</f>
        <v>0</v>
      </c>
      <c r="C38" s="6" t="str">
        <f t="shared" si="1"/>
        <v>https://www.nytimes.com/interactive/2026/09/11/upshot/flashback.html</v>
      </c>
      <c r="D38" s="4" t="str">
        <f t="shared" si="2"/>
        <v/>
      </c>
    </row>
    <row r="39">
      <c r="A39" s="3">
        <f t="shared" si="3"/>
        <v>46283</v>
      </c>
      <c r="B39" s="4">
        <f>IF(AND(Puntajes!D39=0,SUM(Puntajes!B39:F39)&gt;0),1,0)</f>
        <v>0</v>
      </c>
      <c r="C39" s="6" t="str">
        <f t="shared" si="1"/>
        <v>https://www.nytimes.com/interactive/2026/09/18/upshot/flashback.html</v>
      </c>
      <c r="D39" s="4" t="str">
        <f t="shared" si="2"/>
        <v/>
      </c>
    </row>
    <row r="40">
      <c r="A40" s="3">
        <f t="shared" si="3"/>
        <v>46290</v>
      </c>
      <c r="B40" s="4">
        <f>IF(AND(Puntajes!D40=0,SUM(Puntajes!B40:F40)&gt;0),1,0)</f>
        <v>0</v>
      </c>
      <c r="C40" s="6" t="str">
        <f t="shared" si="1"/>
        <v>https://www.nytimes.com/interactive/2026/09/25/upshot/flashback.html</v>
      </c>
      <c r="D40" s="4" t="str">
        <f t="shared" si="2"/>
        <v/>
      </c>
    </row>
    <row r="41">
      <c r="A41" s="3">
        <f t="shared" si="3"/>
        <v>46297</v>
      </c>
      <c r="B41" s="4">
        <f>IF(AND(Puntajes!D41=0,SUM(Puntajes!B41:F41)&gt;0),1,0)</f>
        <v>0</v>
      </c>
      <c r="C41" s="6" t="str">
        <f t="shared" si="1"/>
        <v>https://www.nytimes.com/interactive/2026/10/02/upshot/flashback.html</v>
      </c>
      <c r="D41" s="4" t="str">
        <f t="shared" si="2"/>
        <v/>
      </c>
    </row>
    <row r="42">
      <c r="A42" s="3">
        <f t="shared" si="3"/>
        <v>46304</v>
      </c>
      <c r="B42" s="4">
        <f>IF(AND(Puntajes!D42=0,SUM(Puntajes!B42:F42)&gt;0),1,0)</f>
        <v>0</v>
      </c>
      <c r="C42" s="6" t="str">
        <f t="shared" si="1"/>
        <v>https://www.nytimes.com/interactive/2026/10/09/upshot/flashback.html</v>
      </c>
      <c r="D42" s="4" t="str">
        <f t="shared" si="2"/>
        <v/>
      </c>
    </row>
    <row r="43">
      <c r="A43" s="3">
        <f t="shared" si="3"/>
        <v>46311</v>
      </c>
      <c r="B43" s="4">
        <f>IF(AND(Puntajes!D43=0,SUM(Puntajes!B43:F43)&gt;0),1,0)</f>
        <v>0</v>
      </c>
      <c r="C43" s="6" t="str">
        <f t="shared" si="1"/>
        <v>https://www.nytimes.com/interactive/2026/10/16/upshot/flashback.html</v>
      </c>
      <c r="D43" s="4" t="str">
        <f t="shared" si="2"/>
        <v/>
      </c>
    </row>
    <row r="44">
      <c r="A44" s="3">
        <f t="shared" si="3"/>
        <v>46318</v>
      </c>
      <c r="B44" s="4">
        <f>IF(AND(Puntajes!D44=0,SUM(Puntajes!B44:F44)&gt;0),1,0)</f>
        <v>0</v>
      </c>
      <c r="C44" s="6" t="str">
        <f t="shared" si="1"/>
        <v>https://www.nytimes.com/interactive/2026/10/23/upshot/flashback.html</v>
      </c>
      <c r="D44" s="4" t="str">
        <f t="shared" si="2"/>
        <v/>
      </c>
    </row>
    <row r="45">
      <c r="A45" s="3">
        <f t="shared" si="3"/>
        <v>46325</v>
      </c>
      <c r="B45" s="4">
        <f>IF(AND(Puntajes!D45=0,SUM(Puntajes!B45:F45)&gt;0),1,0)</f>
        <v>0</v>
      </c>
      <c r="C45" s="6" t="str">
        <f t="shared" si="1"/>
        <v>https://www.nytimes.com/interactive/2026/10/30/upshot/flashback.html</v>
      </c>
      <c r="D45" s="4" t="str">
        <f t="shared" si="2"/>
        <v/>
      </c>
    </row>
    <row r="46">
      <c r="A46" s="3">
        <f t="shared" si="3"/>
        <v>46332</v>
      </c>
      <c r="B46" s="4">
        <f>IF(AND(Puntajes!D46=0,SUM(Puntajes!B46:F46)&gt;0),1,0)</f>
        <v>0</v>
      </c>
      <c r="C46" s="6" t="str">
        <f t="shared" si="1"/>
        <v>https://www.nytimes.com/interactive/2026/11/06/upshot/flashback.html</v>
      </c>
      <c r="D46" s="4" t="str">
        <f t="shared" si="2"/>
        <v/>
      </c>
    </row>
    <row r="47">
      <c r="A47" s="3">
        <f t="shared" si="3"/>
        <v>46339</v>
      </c>
      <c r="B47" s="4">
        <f>IF(AND(Puntajes!D47=0,SUM(Puntajes!B47:F47)&gt;0),1,0)</f>
        <v>0</v>
      </c>
      <c r="C47" s="6" t="str">
        <f t="shared" si="1"/>
        <v>https://www.nytimes.com/interactive/2026/11/13/upshot/flashback.html</v>
      </c>
      <c r="D47" s="4" t="str">
        <f t="shared" si="2"/>
        <v/>
      </c>
    </row>
    <row r="48">
      <c r="A48" s="3">
        <f t="shared" si="3"/>
        <v>46346</v>
      </c>
      <c r="B48" s="4">
        <f>IF(AND(Puntajes!D48=0,SUM(Puntajes!B48:F48)&gt;0),1,0)</f>
        <v>0</v>
      </c>
      <c r="C48" s="6" t="str">
        <f t="shared" si="1"/>
        <v>https://www.nytimes.com/interactive/2026/11/20/upshot/flashback.html</v>
      </c>
      <c r="D48" s="4" t="str">
        <f t="shared" si="2"/>
        <v/>
      </c>
    </row>
    <row r="49">
      <c r="A49" s="3">
        <f t="shared" si="3"/>
        <v>46353</v>
      </c>
      <c r="B49" s="4">
        <f>IF(AND(Puntajes!D49=0,SUM(Puntajes!B49:F49)&gt;0),1,0)</f>
        <v>0</v>
      </c>
      <c r="C49" s="6" t="str">
        <f t="shared" si="1"/>
        <v>https://www.nytimes.com/interactive/2026/11/27/upshot/flashback.html</v>
      </c>
      <c r="D49" s="4" t="str">
        <f t="shared" si="2"/>
        <v/>
      </c>
    </row>
    <row r="50">
      <c r="A50" s="3">
        <f t="shared" si="3"/>
        <v>46360</v>
      </c>
      <c r="B50" s="4">
        <f>IF(AND(Puntajes!D50=0,SUM(Puntajes!B50:F50)&gt;0),1,0)</f>
        <v>0</v>
      </c>
      <c r="C50" s="6" t="str">
        <f t="shared" si="1"/>
        <v>https://www.nytimes.com/interactive/2026/12/04/upshot/flashback.html</v>
      </c>
      <c r="D50" s="4" t="str">
        <f t="shared" si="2"/>
        <v/>
      </c>
    </row>
    <row r="51">
      <c r="A51" s="3">
        <f t="shared" si="3"/>
        <v>46367</v>
      </c>
      <c r="B51" s="4">
        <f>IF(AND(Puntajes!D51=0,SUM(Puntajes!B51:F51)&gt;0),1,0)</f>
        <v>0</v>
      </c>
      <c r="C51" s="6" t="str">
        <f t="shared" si="1"/>
        <v>https://www.nytimes.com/interactive/2026/12/11/upshot/flashback.html</v>
      </c>
      <c r="D51" s="4" t="str">
        <f t="shared" si="2"/>
        <v/>
      </c>
    </row>
    <row r="52">
      <c r="A52" s="3">
        <f t="shared" si="3"/>
        <v>46374</v>
      </c>
      <c r="B52" s="4">
        <f>IF(AND(Puntajes!D52=0,SUM(Puntajes!B52:F52)&gt;0),1,0)</f>
        <v>0</v>
      </c>
      <c r="C52" s="6" t="str">
        <f t="shared" si="1"/>
        <v>https://www.nytimes.com/interactive/2026/12/18/upshot/flashback.html</v>
      </c>
      <c r="D52" s="4" t="str">
        <f t="shared" si="2"/>
        <v/>
      </c>
    </row>
    <row r="53">
      <c r="A53" s="3">
        <f t="shared" si="3"/>
        <v>46381</v>
      </c>
      <c r="B53" s="4">
        <f>IF(AND(Puntajes!D53=0,SUM(Puntajes!B53:F53)&gt;0),1,0)</f>
        <v>0</v>
      </c>
      <c r="C53" s="6" t="str">
        <f t="shared" si="1"/>
        <v>https://www.nytimes.com/interactive/2026/12/25/upshot/flashback.html</v>
      </c>
      <c r="D53" s="4" t="str">
        <f t="shared" si="2"/>
        <v/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1.88"/>
  </cols>
  <sheetData>
    <row r="1">
      <c r="A1" s="1" t="s">
        <v>0</v>
      </c>
      <c r="B1" s="1" t="s">
        <v>14</v>
      </c>
      <c r="C1" s="1" t="s">
        <v>10</v>
      </c>
      <c r="D1" s="1" t="s">
        <v>11</v>
      </c>
    </row>
    <row r="2">
      <c r="A2" s="3">
        <v>46024.0</v>
      </c>
      <c r="B2" s="4">
        <f>IF(AND(Puntajes!E2=0,SUM(Puntajes!B2:F2)&gt;0),1,0)</f>
        <v>0</v>
      </c>
      <c r="C2" s="6" t="str">
        <f t="shared" ref="C2:C53" si="1">CONCATENATE("https://www.nytimes.com/interactive/", YEAR(A2), "/", TEXT(MONTH(A2), "00"), "/", TEXT(DAY(A2), "00"), "/upshot/flashback.html")</f>
        <v>https://www.nytimes.com/interactive/2026/01/02/upshot/flashback.html</v>
      </c>
      <c r="D2" s="4" t="str">
        <f t="shared" ref="D2:D53" si="2">IF(B2=1,C2,"")</f>
        <v/>
      </c>
    </row>
    <row r="3">
      <c r="A3" s="3">
        <f t="shared" ref="A3:A53" si="3">A2+7</f>
        <v>46031</v>
      </c>
      <c r="B3" s="4">
        <f>IF(AND(Puntajes!E3=0,SUM(Puntajes!B3:F3)&gt;0),1,0)</f>
        <v>0</v>
      </c>
      <c r="C3" s="6" t="str">
        <f t="shared" si="1"/>
        <v>https://www.nytimes.com/interactive/2026/01/09/upshot/flashback.html</v>
      </c>
      <c r="D3" s="4" t="str">
        <f t="shared" si="2"/>
        <v/>
      </c>
    </row>
    <row r="4">
      <c r="A4" s="3">
        <f t="shared" si="3"/>
        <v>46038</v>
      </c>
      <c r="B4" s="4">
        <f>IF(AND(Puntajes!E4=0,SUM(Puntajes!B4:F4)&gt;0),1,0)</f>
        <v>0</v>
      </c>
      <c r="C4" s="6" t="str">
        <f t="shared" si="1"/>
        <v>https://www.nytimes.com/interactive/2026/01/16/upshot/flashback.html</v>
      </c>
      <c r="D4" s="4" t="str">
        <f t="shared" si="2"/>
        <v/>
      </c>
    </row>
    <row r="5">
      <c r="A5" s="3">
        <f t="shared" si="3"/>
        <v>46045</v>
      </c>
      <c r="B5" s="4">
        <f>IF(AND(Puntajes!E5=0,SUM(Puntajes!B5:F5)&gt;0),1,0)</f>
        <v>0</v>
      </c>
      <c r="C5" s="6" t="str">
        <f t="shared" si="1"/>
        <v>https://www.nytimes.com/interactive/2026/01/23/upshot/flashback.html</v>
      </c>
      <c r="D5" s="4" t="str">
        <f t="shared" si="2"/>
        <v/>
      </c>
    </row>
    <row r="6">
      <c r="A6" s="3">
        <f t="shared" si="3"/>
        <v>46052</v>
      </c>
      <c r="B6" s="4">
        <f>IF(AND(Puntajes!E6=0,SUM(Puntajes!B6:F6)&gt;0),1,0)</f>
        <v>0</v>
      </c>
      <c r="C6" s="6" t="str">
        <f t="shared" si="1"/>
        <v>https://www.nytimes.com/interactive/2026/01/30/upshot/flashback.html</v>
      </c>
      <c r="D6" s="4" t="str">
        <f t="shared" si="2"/>
        <v/>
      </c>
    </row>
    <row r="7">
      <c r="A7" s="3">
        <f t="shared" si="3"/>
        <v>46059</v>
      </c>
      <c r="B7" s="4">
        <f>IF(AND(Puntajes!E7=0,SUM(Puntajes!B7:F7)&gt;0),1,0)</f>
        <v>0</v>
      </c>
      <c r="C7" s="6" t="str">
        <f t="shared" si="1"/>
        <v>https://www.nytimes.com/interactive/2026/02/06/upshot/flashback.html</v>
      </c>
      <c r="D7" s="4" t="str">
        <f t="shared" si="2"/>
        <v/>
      </c>
    </row>
    <row r="8">
      <c r="A8" s="3">
        <f t="shared" si="3"/>
        <v>46066</v>
      </c>
      <c r="B8" s="4">
        <f>IF(AND(Puntajes!E8=0,SUM(Puntajes!B8:F8)&gt;0),1,0)</f>
        <v>0</v>
      </c>
      <c r="C8" s="6" t="str">
        <f t="shared" si="1"/>
        <v>https://www.nytimes.com/interactive/2026/02/13/upshot/flashback.html</v>
      </c>
      <c r="D8" s="4" t="str">
        <f t="shared" si="2"/>
        <v/>
      </c>
    </row>
    <row r="9">
      <c r="A9" s="3">
        <f t="shared" si="3"/>
        <v>46073</v>
      </c>
      <c r="B9" s="4">
        <f>IF(AND(Puntajes!E9=0,SUM(Puntajes!B9:F9)&gt;0),1,0)</f>
        <v>0</v>
      </c>
      <c r="C9" s="6" t="str">
        <f t="shared" si="1"/>
        <v>https://www.nytimes.com/interactive/2026/02/20/upshot/flashback.html</v>
      </c>
      <c r="D9" s="4" t="str">
        <f t="shared" si="2"/>
        <v/>
      </c>
    </row>
    <row r="10">
      <c r="A10" s="3">
        <f t="shared" si="3"/>
        <v>46080</v>
      </c>
      <c r="B10" s="4">
        <f>IF(AND(Puntajes!E10=0,SUM(Puntajes!B10:F10)&gt;0),1,0)</f>
        <v>0</v>
      </c>
      <c r="C10" s="6" t="str">
        <f t="shared" si="1"/>
        <v>https://www.nytimes.com/interactive/2026/02/27/upshot/flashback.html</v>
      </c>
      <c r="D10" s="4" t="str">
        <f t="shared" si="2"/>
        <v/>
      </c>
    </row>
    <row r="11">
      <c r="A11" s="3">
        <f t="shared" si="3"/>
        <v>46087</v>
      </c>
      <c r="B11" s="4">
        <f>IF(AND(Puntajes!E11=0,SUM(Puntajes!B11:F11)&gt;0),1,0)</f>
        <v>0</v>
      </c>
      <c r="C11" s="6" t="str">
        <f t="shared" si="1"/>
        <v>https://www.nytimes.com/interactive/2026/03/06/upshot/flashback.html</v>
      </c>
      <c r="D11" s="4" t="str">
        <f t="shared" si="2"/>
        <v/>
      </c>
    </row>
    <row r="12">
      <c r="A12" s="3">
        <f t="shared" si="3"/>
        <v>46094</v>
      </c>
      <c r="B12" s="4">
        <f>IF(AND(Puntajes!E12=0,SUM(Puntajes!B12:F12)&gt;0),1,0)</f>
        <v>0</v>
      </c>
      <c r="C12" s="6" t="str">
        <f t="shared" si="1"/>
        <v>https://www.nytimes.com/interactive/2026/03/13/upshot/flashback.html</v>
      </c>
      <c r="D12" s="4" t="str">
        <f t="shared" si="2"/>
        <v/>
      </c>
    </row>
    <row r="13">
      <c r="A13" s="3">
        <f t="shared" si="3"/>
        <v>46101</v>
      </c>
      <c r="B13" s="4">
        <f>IF(AND(Puntajes!E13=0,SUM(Puntajes!B13:F13)&gt;0),1,0)</f>
        <v>0</v>
      </c>
      <c r="C13" s="6" t="str">
        <f t="shared" si="1"/>
        <v>https://www.nytimes.com/interactive/2026/03/20/upshot/flashback.html</v>
      </c>
      <c r="D13" s="4" t="str">
        <f t="shared" si="2"/>
        <v/>
      </c>
    </row>
    <row r="14">
      <c r="A14" s="3">
        <f t="shared" si="3"/>
        <v>46108</v>
      </c>
      <c r="B14" s="4">
        <f>IF(AND(Puntajes!E14=0,SUM(Puntajes!B14:F14)&gt;0),1,0)</f>
        <v>0</v>
      </c>
      <c r="C14" s="6" t="str">
        <f t="shared" si="1"/>
        <v>https://www.nytimes.com/interactive/2026/03/27/upshot/flashback.html</v>
      </c>
      <c r="D14" s="4" t="str">
        <f t="shared" si="2"/>
        <v/>
      </c>
    </row>
    <row r="15">
      <c r="A15" s="3">
        <f t="shared" si="3"/>
        <v>46115</v>
      </c>
      <c r="B15" s="4">
        <f>IF(AND(Puntajes!E15=0,SUM(Puntajes!B15:F15)&gt;0),1,0)</f>
        <v>0</v>
      </c>
      <c r="C15" s="6" t="str">
        <f t="shared" si="1"/>
        <v>https://www.nytimes.com/interactive/2026/04/03/upshot/flashback.html</v>
      </c>
      <c r="D15" s="4" t="str">
        <f t="shared" si="2"/>
        <v/>
      </c>
    </row>
    <row r="16">
      <c r="A16" s="3">
        <f t="shared" si="3"/>
        <v>46122</v>
      </c>
      <c r="B16" s="4">
        <f>IF(AND(Puntajes!E16=0,SUM(Puntajes!B16:F16)&gt;0),1,0)</f>
        <v>0</v>
      </c>
      <c r="C16" s="6" t="str">
        <f t="shared" si="1"/>
        <v>https://www.nytimes.com/interactive/2026/04/10/upshot/flashback.html</v>
      </c>
      <c r="D16" s="4" t="str">
        <f t="shared" si="2"/>
        <v/>
      </c>
    </row>
    <row r="17">
      <c r="A17" s="3">
        <f t="shared" si="3"/>
        <v>46129</v>
      </c>
      <c r="B17" s="4">
        <f>IF(AND(Puntajes!E17=0,SUM(Puntajes!B17:F17)&gt;0),1,0)</f>
        <v>0</v>
      </c>
      <c r="C17" s="6" t="str">
        <f t="shared" si="1"/>
        <v>https://www.nytimes.com/interactive/2026/04/17/upshot/flashback.html</v>
      </c>
      <c r="D17" s="4" t="str">
        <f t="shared" si="2"/>
        <v/>
      </c>
    </row>
    <row r="18">
      <c r="A18" s="3">
        <f t="shared" si="3"/>
        <v>46136</v>
      </c>
      <c r="B18" s="4">
        <f>IF(AND(Puntajes!E18=0,SUM(Puntajes!B18:F18)&gt;0),1,0)</f>
        <v>0</v>
      </c>
      <c r="C18" s="6" t="str">
        <f t="shared" si="1"/>
        <v>https://www.nytimes.com/interactive/2026/04/24/upshot/flashback.html</v>
      </c>
      <c r="D18" s="4" t="str">
        <f t="shared" si="2"/>
        <v/>
      </c>
    </row>
    <row r="19">
      <c r="A19" s="3">
        <f t="shared" si="3"/>
        <v>46143</v>
      </c>
      <c r="B19" s="4">
        <f>IF(AND(Puntajes!E19=0,SUM(Puntajes!B19:F19)&gt;0),1,0)</f>
        <v>0</v>
      </c>
      <c r="C19" s="6" t="str">
        <f t="shared" si="1"/>
        <v>https://www.nytimes.com/interactive/2026/05/01/upshot/flashback.html</v>
      </c>
      <c r="D19" s="4" t="str">
        <f t="shared" si="2"/>
        <v/>
      </c>
    </row>
    <row r="20">
      <c r="A20" s="3">
        <f t="shared" si="3"/>
        <v>46150</v>
      </c>
      <c r="B20" s="4">
        <f>IF(AND(Puntajes!E20=0,SUM(Puntajes!B20:F20)&gt;0),1,0)</f>
        <v>0</v>
      </c>
      <c r="C20" s="6" t="str">
        <f t="shared" si="1"/>
        <v>https://www.nytimes.com/interactive/2026/05/08/upshot/flashback.html</v>
      </c>
      <c r="D20" s="4" t="str">
        <f t="shared" si="2"/>
        <v/>
      </c>
    </row>
    <row r="21">
      <c r="A21" s="3">
        <f t="shared" si="3"/>
        <v>46157</v>
      </c>
      <c r="B21" s="4">
        <f>IF(AND(Puntajes!E21=0,SUM(Puntajes!B21:F21)&gt;0),1,0)</f>
        <v>0</v>
      </c>
      <c r="C21" s="6" t="str">
        <f t="shared" si="1"/>
        <v>https://www.nytimes.com/interactive/2026/05/15/upshot/flashback.html</v>
      </c>
      <c r="D21" s="4" t="str">
        <f t="shared" si="2"/>
        <v/>
      </c>
    </row>
    <row r="22">
      <c r="A22" s="3">
        <f t="shared" si="3"/>
        <v>46164</v>
      </c>
      <c r="B22" s="4">
        <f>IF(AND(Puntajes!E22=0,SUM(Puntajes!B22:F22)&gt;0),1,0)</f>
        <v>0</v>
      </c>
      <c r="C22" s="6" t="str">
        <f t="shared" si="1"/>
        <v>https://www.nytimes.com/interactive/2026/05/22/upshot/flashback.html</v>
      </c>
      <c r="D22" s="4" t="str">
        <f t="shared" si="2"/>
        <v/>
      </c>
    </row>
    <row r="23">
      <c r="A23" s="3">
        <f t="shared" si="3"/>
        <v>46171</v>
      </c>
      <c r="B23" s="4">
        <f>IF(AND(Puntajes!E23=0,SUM(Puntajes!B23:F23)&gt;0),1,0)</f>
        <v>0</v>
      </c>
      <c r="C23" s="6" t="str">
        <f t="shared" si="1"/>
        <v>https://www.nytimes.com/interactive/2026/05/29/upshot/flashback.html</v>
      </c>
      <c r="D23" s="4" t="str">
        <f t="shared" si="2"/>
        <v/>
      </c>
    </row>
    <row r="24">
      <c r="A24" s="3">
        <f t="shared" si="3"/>
        <v>46178</v>
      </c>
      <c r="B24" s="4">
        <f>IF(AND(Puntajes!E24=0,SUM(Puntajes!B24:F24)&gt;0),1,0)</f>
        <v>0</v>
      </c>
      <c r="C24" s="6" t="str">
        <f t="shared" si="1"/>
        <v>https://www.nytimes.com/interactive/2026/06/05/upshot/flashback.html</v>
      </c>
      <c r="D24" s="4" t="str">
        <f t="shared" si="2"/>
        <v/>
      </c>
    </row>
    <row r="25">
      <c r="A25" s="3">
        <f t="shared" si="3"/>
        <v>46185</v>
      </c>
      <c r="B25" s="4">
        <f>IF(AND(Puntajes!E25=0,SUM(Puntajes!B25:F25)&gt;0),1,0)</f>
        <v>0</v>
      </c>
      <c r="C25" s="6" t="str">
        <f t="shared" si="1"/>
        <v>https://www.nytimes.com/interactive/2026/06/12/upshot/flashback.html</v>
      </c>
      <c r="D25" s="4" t="str">
        <f t="shared" si="2"/>
        <v/>
      </c>
    </row>
    <row r="26">
      <c r="A26" s="3">
        <f t="shared" si="3"/>
        <v>46192</v>
      </c>
      <c r="B26" s="4">
        <f>IF(AND(Puntajes!E26=0,SUM(Puntajes!B26:F26)&gt;0),1,0)</f>
        <v>0</v>
      </c>
      <c r="C26" s="6" t="str">
        <f t="shared" si="1"/>
        <v>https://www.nytimes.com/interactive/2026/06/19/upshot/flashback.html</v>
      </c>
      <c r="D26" s="4" t="str">
        <f t="shared" si="2"/>
        <v/>
      </c>
    </row>
    <row r="27">
      <c r="A27" s="3">
        <f t="shared" si="3"/>
        <v>46199</v>
      </c>
      <c r="B27" s="4">
        <f>IF(AND(Puntajes!E27=0,SUM(Puntajes!B27:F27)&gt;0),1,0)</f>
        <v>0</v>
      </c>
      <c r="C27" s="6" t="str">
        <f t="shared" si="1"/>
        <v>https://www.nytimes.com/interactive/2026/06/26/upshot/flashback.html</v>
      </c>
      <c r="D27" s="4" t="str">
        <f t="shared" si="2"/>
        <v/>
      </c>
    </row>
    <row r="28">
      <c r="A28" s="3">
        <f t="shared" si="3"/>
        <v>46206</v>
      </c>
      <c r="B28" s="4">
        <f>IF(AND(Puntajes!E28=0,SUM(Puntajes!B28:F28)&gt;0),1,0)</f>
        <v>0</v>
      </c>
      <c r="C28" s="6" t="str">
        <f t="shared" si="1"/>
        <v>https://www.nytimes.com/interactive/2026/07/03/upshot/flashback.html</v>
      </c>
      <c r="D28" s="4" t="str">
        <f t="shared" si="2"/>
        <v/>
      </c>
    </row>
    <row r="29">
      <c r="A29" s="3">
        <f t="shared" si="3"/>
        <v>46213</v>
      </c>
      <c r="B29" s="4">
        <f>IF(AND(Puntajes!E29=0,SUM(Puntajes!B29:F29)&gt;0),1,0)</f>
        <v>0</v>
      </c>
      <c r="C29" s="6" t="str">
        <f t="shared" si="1"/>
        <v>https://www.nytimes.com/interactive/2026/07/10/upshot/flashback.html</v>
      </c>
      <c r="D29" s="4" t="str">
        <f t="shared" si="2"/>
        <v/>
      </c>
    </row>
    <row r="30">
      <c r="A30" s="3">
        <f t="shared" si="3"/>
        <v>46220</v>
      </c>
      <c r="B30" s="4">
        <f>IF(AND(Puntajes!E30=0,SUM(Puntajes!B30:F30)&gt;0),1,0)</f>
        <v>0</v>
      </c>
      <c r="C30" s="6" t="str">
        <f t="shared" si="1"/>
        <v>https://www.nytimes.com/interactive/2026/07/17/upshot/flashback.html</v>
      </c>
      <c r="D30" s="4" t="str">
        <f t="shared" si="2"/>
        <v/>
      </c>
    </row>
    <row r="31">
      <c r="A31" s="3">
        <f t="shared" si="3"/>
        <v>46227</v>
      </c>
      <c r="B31" s="4">
        <f>IF(AND(Puntajes!E31=0,SUM(Puntajes!B31:F31)&gt;0),1,0)</f>
        <v>0</v>
      </c>
      <c r="C31" s="6" t="str">
        <f t="shared" si="1"/>
        <v>https://www.nytimes.com/interactive/2026/07/24/upshot/flashback.html</v>
      </c>
      <c r="D31" s="4" t="str">
        <f t="shared" si="2"/>
        <v/>
      </c>
    </row>
    <row r="32">
      <c r="A32" s="3">
        <f t="shared" si="3"/>
        <v>46234</v>
      </c>
      <c r="B32" s="4">
        <f>IF(AND(Puntajes!E32=0,SUM(Puntajes!B32:F32)&gt;0),1,0)</f>
        <v>0</v>
      </c>
      <c r="C32" s="6" t="str">
        <f t="shared" si="1"/>
        <v>https://www.nytimes.com/interactive/2026/07/31/upshot/flashback.html</v>
      </c>
      <c r="D32" s="4" t="str">
        <f t="shared" si="2"/>
        <v/>
      </c>
    </row>
    <row r="33">
      <c r="A33" s="3">
        <f t="shared" si="3"/>
        <v>46241</v>
      </c>
      <c r="B33" s="4">
        <f>IF(AND(Puntajes!E33=0,SUM(Puntajes!B33:F33)&gt;0),1,0)</f>
        <v>0</v>
      </c>
      <c r="C33" s="6" t="str">
        <f t="shared" si="1"/>
        <v>https://www.nytimes.com/interactive/2026/08/07/upshot/flashback.html</v>
      </c>
      <c r="D33" s="4" t="str">
        <f t="shared" si="2"/>
        <v/>
      </c>
    </row>
    <row r="34">
      <c r="A34" s="3">
        <f t="shared" si="3"/>
        <v>46248</v>
      </c>
      <c r="B34" s="4">
        <f>IF(AND(Puntajes!E34=0,SUM(Puntajes!B34:F34)&gt;0),1,0)</f>
        <v>1</v>
      </c>
      <c r="C34" s="6" t="str">
        <f t="shared" si="1"/>
        <v>https://www.nytimes.com/interactive/2026/08/14/upshot/flashback.html</v>
      </c>
      <c r="D34" s="6" t="str">
        <f t="shared" si="2"/>
        <v>https://www.nytimes.com/interactive/2026/08/14/upshot/flashback.html</v>
      </c>
    </row>
    <row r="35">
      <c r="A35" s="3">
        <f t="shared" si="3"/>
        <v>46255</v>
      </c>
      <c r="B35" s="4">
        <f>IF(AND(Puntajes!E35=0,SUM(Puntajes!B35:F35)&gt;0),1,0)</f>
        <v>0</v>
      </c>
      <c r="C35" s="6" t="str">
        <f t="shared" si="1"/>
        <v>https://www.nytimes.com/interactive/2026/08/21/upshot/flashback.html</v>
      </c>
      <c r="D35" s="4" t="str">
        <f t="shared" si="2"/>
        <v/>
      </c>
    </row>
    <row r="36">
      <c r="A36" s="3">
        <f t="shared" si="3"/>
        <v>46262</v>
      </c>
      <c r="B36" s="4">
        <f>IF(AND(Puntajes!E36=0,SUM(Puntajes!B36:F36)&gt;0),1,0)</f>
        <v>0</v>
      </c>
      <c r="C36" s="6" t="str">
        <f t="shared" si="1"/>
        <v>https://www.nytimes.com/interactive/2026/08/28/upshot/flashback.html</v>
      </c>
      <c r="D36" s="4" t="str">
        <f t="shared" si="2"/>
        <v/>
      </c>
    </row>
    <row r="37">
      <c r="A37" s="3">
        <f t="shared" si="3"/>
        <v>46269</v>
      </c>
      <c r="B37" s="4">
        <f>IF(AND(Puntajes!E37=0,SUM(Puntajes!B37:F37)&gt;0),1,0)</f>
        <v>0</v>
      </c>
      <c r="C37" s="6" t="str">
        <f t="shared" si="1"/>
        <v>https://www.nytimes.com/interactive/2026/09/04/upshot/flashback.html</v>
      </c>
      <c r="D37" s="4" t="str">
        <f t="shared" si="2"/>
        <v/>
      </c>
    </row>
    <row r="38">
      <c r="A38" s="3">
        <f t="shared" si="3"/>
        <v>46276</v>
      </c>
      <c r="B38" s="4">
        <f>IF(AND(Puntajes!E38=0,SUM(Puntajes!B38:F38)&gt;0),1,0)</f>
        <v>0</v>
      </c>
      <c r="C38" s="6" t="str">
        <f t="shared" si="1"/>
        <v>https://www.nytimes.com/interactive/2026/09/11/upshot/flashback.html</v>
      </c>
      <c r="D38" s="4" t="str">
        <f t="shared" si="2"/>
        <v/>
      </c>
    </row>
    <row r="39">
      <c r="A39" s="3">
        <f t="shared" si="3"/>
        <v>46283</v>
      </c>
      <c r="B39" s="4">
        <f>IF(AND(Puntajes!E39=0,SUM(Puntajes!B39:F39)&gt;0),1,0)</f>
        <v>0</v>
      </c>
      <c r="C39" s="6" t="str">
        <f t="shared" si="1"/>
        <v>https://www.nytimes.com/interactive/2026/09/18/upshot/flashback.html</v>
      </c>
      <c r="D39" s="4" t="str">
        <f t="shared" si="2"/>
        <v/>
      </c>
    </row>
    <row r="40">
      <c r="A40" s="3">
        <f t="shared" si="3"/>
        <v>46290</v>
      </c>
      <c r="B40" s="4">
        <f>IF(AND(Puntajes!E40=0,SUM(Puntajes!B40:F40)&gt;0),1,0)</f>
        <v>0</v>
      </c>
      <c r="C40" s="6" t="str">
        <f t="shared" si="1"/>
        <v>https://www.nytimes.com/interactive/2026/09/25/upshot/flashback.html</v>
      </c>
      <c r="D40" s="4" t="str">
        <f t="shared" si="2"/>
        <v/>
      </c>
    </row>
    <row r="41">
      <c r="A41" s="3">
        <f t="shared" si="3"/>
        <v>46297</v>
      </c>
      <c r="B41" s="4">
        <f>IF(AND(Puntajes!E41=0,SUM(Puntajes!B41:F41)&gt;0),1,0)</f>
        <v>0</v>
      </c>
      <c r="C41" s="6" t="str">
        <f t="shared" si="1"/>
        <v>https://www.nytimes.com/interactive/2026/10/02/upshot/flashback.html</v>
      </c>
      <c r="D41" s="4" t="str">
        <f t="shared" si="2"/>
        <v/>
      </c>
    </row>
    <row r="42">
      <c r="A42" s="3">
        <f t="shared" si="3"/>
        <v>46304</v>
      </c>
      <c r="B42" s="4">
        <f>IF(AND(Puntajes!E42=0,SUM(Puntajes!B42:F42)&gt;0),1,0)</f>
        <v>0</v>
      </c>
      <c r="C42" s="6" t="str">
        <f t="shared" si="1"/>
        <v>https://www.nytimes.com/interactive/2026/10/09/upshot/flashback.html</v>
      </c>
      <c r="D42" s="4" t="str">
        <f t="shared" si="2"/>
        <v/>
      </c>
    </row>
    <row r="43">
      <c r="A43" s="3">
        <f t="shared" si="3"/>
        <v>46311</v>
      </c>
      <c r="B43" s="4">
        <f>IF(AND(Puntajes!E43=0,SUM(Puntajes!B43:F43)&gt;0),1,0)</f>
        <v>0</v>
      </c>
      <c r="C43" s="6" t="str">
        <f t="shared" si="1"/>
        <v>https://www.nytimes.com/interactive/2026/10/16/upshot/flashback.html</v>
      </c>
      <c r="D43" s="4" t="str">
        <f t="shared" si="2"/>
        <v/>
      </c>
    </row>
    <row r="44">
      <c r="A44" s="3">
        <f t="shared" si="3"/>
        <v>46318</v>
      </c>
      <c r="B44" s="4">
        <f>IF(AND(Puntajes!E44=0,SUM(Puntajes!B44:F44)&gt;0),1,0)</f>
        <v>0</v>
      </c>
      <c r="C44" s="6" t="str">
        <f t="shared" si="1"/>
        <v>https://www.nytimes.com/interactive/2026/10/23/upshot/flashback.html</v>
      </c>
      <c r="D44" s="4" t="str">
        <f t="shared" si="2"/>
        <v/>
      </c>
    </row>
    <row r="45">
      <c r="A45" s="3">
        <f t="shared" si="3"/>
        <v>46325</v>
      </c>
      <c r="B45" s="4">
        <f>IF(AND(Puntajes!E45=0,SUM(Puntajes!B45:F45)&gt;0),1,0)</f>
        <v>0</v>
      </c>
      <c r="C45" s="6" t="str">
        <f t="shared" si="1"/>
        <v>https://www.nytimes.com/interactive/2026/10/30/upshot/flashback.html</v>
      </c>
      <c r="D45" s="4" t="str">
        <f t="shared" si="2"/>
        <v/>
      </c>
    </row>
    <row r="46">
      <c r="A46" s="3">
        <f t="shared" si="3"/>
        <v>46332</v>
      </c>
      <c r="B46" s="4">
        <f>IF(AND(Puntajes!E46=0,SUM(Puntajes!B46:F46)&gt;0),1,0)</f>
        <v>0</v>
      </c>
      <c r="C46" s="6" t="str">
        <f t="shared" si="1"/>
        <v>https://www.nytimes.com/interactive/2026/11/06/upshot/flashback.html</v>
      </c>
      <c r="D46" s="4" t="str">
        <f t="shared" si="2"/>
        <v/>
      </c>
    </row>
    <row r="47">
      <c r="A47" s="3">
        <f t="shared" si="3"/>
        <v>46339</v>
      </c>
      <c r="B47" s="4">
        <f>IF(AND(Puntajes!E47=0,SUM(Puntajes!B47:F47)&gt;0),1,0)</f>
        <v>0</v>
      </c>
      <c r="C47" s="6" t="str">
        <f t="shared" si="1"/>
        <v>https://www.nytimes.com/interactive/2026/11/13/upshot/flashback.html</v>
      </c>
      <c r="D47" s="4" t="str">
        <f t="shared" si="2"/>
        <v/>
      </c>
    </row>
    <row r="48">
      <c r="A48" s="3">
        <f t="shared" si="3"/>
        <v>46346</v>
      </c>
      <c r="B48" s="4">
        <f>IF(AND(Puntajes!E48=0,SUM(Puntajes!B48:F48)&gt;0),1,0)</f>
        <v>0</v>
      </c>
      <c r="C48" s="6" t="str">
        <f t="shared" si="1"/>
        <v>https://www.nytimes.com/interactive/2026/11/20/upshot/flashback.html</v>
      </c>
      <c r="D48" s="4" t="str">
        <f t="shared" si="2"/>
        <v/>
      </c>
    </row>
    <row r="49">
      <c r="A49" s="3">
        <f t="shared" si="3"/>
        <v>46353</v>
      </c>
      <c r="B49" s="4">
        <f>IF(AND(Puntajes!E49=0,SUM(Puntajes!B49:F49)&gt;0),1,0)</f>
        <v>0</v>
      </c>
      <c r="C49" s="6" t="str">
        <f t="shared" si="1"/>
        <v>https://www.nytimes.com/interactive/2026/11/27/upshot/flashback.html</v>
      </c>
      <c r="D49" s="4" t="str">
        <f t="shared" si="2"/>
        <v/>
      </c>
    </row>
    <row r="50">
      <c r="A50" s="3">
        <f t="shared" si="3"/>
        <v>46360</v>
      </c>
      <c r="B50" s="4">
        <f>IF(AND(Puntajes!E50=0,SUM(Puntajes!B50:F50)&gt;0),1,0)</f>
        <v>0</v>
      </c>
      <c r="C50" s="6" t="str">
        <f t="shared" si="1"/>
        <v>https://www.nytimes.com/interactive/2026/12/04/upshot/flashback.html</v>
      </c>
      <c r="D50" s="4" t="str">
        <f t="shared" si="2"/>
        <v/>
      </c>
    </row>
    <row r="51">
      <c r="A51" s="3">
        <f t="shared" si="3"/>
        <v>46367</v>
      </c>
      <c r="B51" s="4">
        <f>IF(AND(Puntajes!E51=0,SUM(Puntajes!B51:F51)&gt;0),1,0)</f>
        <v>0</v>
      </c>
      <c r="C51" s="6" t="str">
        <f t="shared" si="1"/>
        <v>https://www.nytimes.com/interactive/2026/12/11/upshot/flashback.html</v>
      </c>
      <c r="D51" s="4" t="str">
        <f t="shared" si="2"/>
        <v/>
      </c>
    </row>
    <row r="52">
      <c r="A52" s="3">
        <f t="shared" si="3"/>
        <v>46374</v>
      </c>
      <c r="B52" s="4">
        <f>IF(AND(Puntajes!E52=0,SUM(Puntajes!B52:F52)&gt;0),1,0)</f>
        <v>0</v>
      </c>
      <c r="C52" s="6" t="str">
        <f t="shared" si="1"/>
        <v>https://www.nytimes.com/interactive/2026/12/18/upshot/flashback.html</v>
      </c>
      <c r="D52" s="4" t="str">
        <f t="shared" si="2"/>
        <v/>
      </c>
    </row>
    <row r="53">
      <c r="A53" s="3">
        <f t="shared" si="3"/>
        <v>46381</v>
      </c>
      <c r="B53" s="4">
        <f>IF(AND(Puntajes!E53=0,SUM(Puntajes!B53:F53)&gt;0),1,0)</f>
        <v>0</v>
      </c>
      <c r="C53" s="6" t="str">
        <f t="shared" si="1"/>
        <v>https://www.nytimes.com/interactive/2026/12/25/upshot/flashback.html</v>
      </c>
      <c r="D53" s="4" t="str">
        <f t="shared" si="2"/>
        <v/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1.88"/>
  </cols>
  <sheetData>
    <row r="1">
      <c r="A1" s="1" t="s">
        <v>0</v>
      </c>
      <c r="B1" s="1" t="s">
        <v>15</v>
      </c>
      <c r="C1" s="1" t="s">
        <v>10</v>
      </c>
      <c r="D1" s="1" t="s">
        <v>11</v>
      </c>
    </row>
    <row r="2">
      <c r="A2" s="3">
        <v>46024.0</v>
      </c>
      <c r="B2" s="4">
        <f>IF(AND(Puntajes!F2=0,SUM(Puntajes!B2:F2)&gt;0),1,0)</f>
        <v>0</v>
      </c>
      <c r="C2" s="6" t="str">
        <f t="shared" ref="C2:C53" si="1">CONCATENATE("https://www.nytimes.com/interactive/", YEAR(A2), "/", TEXT(MONTH(A2), "00"), "/", TEXT(DAY(A2), "00"), "/upshot/flashback.html")</f>
        <v>https://www.nytimes.com/interactive/2026/01/02/upshot/flashback.html</v>
      </c>
      <c r="D2" s="4" t="str">
        <f t="shared" ref="D2:D53" si="2">IF(B2=1,C2,"")</f>
        <v/>
      </c>
    </row>
    <row r="3">
      <c r="A3" s="3">
        <f t="shared" ref="A3:A53" si="3">A2+7</f>
        <v>46031</v>
      </c>
      <c r="B3" s="4">
        <f>IF(AND(Puntajes!F3=0,SUM(Puntajes!B3:F3)&gt;0),1,0)</f>
        <v>0</v>
      </c>
      <c r="C3" s="6" t="str">
        <f t="shared" si="1"/>
        <v>https://www.nytimes.com/interactive/2026/01/09/upshot/flashback.html</v>
      </c>
      <c r="D3" s="4" t="str">
        <f t="shared" si="2"/>
        <v/>
      </c>
    </row>
    <row r="4">
      <c r="A4" s="3">
        <f t="shared" si="3"/>
        <v>46038</v>
      </c>
      <c r="B4" s="4">
        <f>IF(AND(Puntajes!F4=0,SUM(Puntajes!B4:F4)&gt;0),1,0)</f>
        <v>0</v>
      </c>
      <c r="C4" s="6" t="str">
        <f t="shared" si="1"/>
        <v>https://www.nytimes.com/interactive/2026/01/16/upshot/flashback.html</v>
      </c>
      <c r="D4" s="4" t="str">
        <f t="shared" si="2"/>
        <v/>
      </c>
    </row>
    <row r="5">
      <c r="A5" s="3">
        <f t="shared" si="3"/>
        <v>46045</v>
      </c>
      <c r="B5" s="4">
        <f>IF(AND(Puntajes!F5=0,SUM(Puntajes!B5:F5)&gt;0),1,0)</f>
        <v>0</v>
      </c>
      <c r="C5" s="6" t="str">
        <f t="shared" si="1"/>
        <v>https://www.nytimes.com/interactive/2026/01/23/upshot/flashback.html</v>
      </c>
      <c r="D5" s="4" t="str">
        <f t="shared" si="2"/>
        <v/>
      </c>
    </row>
    <row r="6">
      <c r="A6" s="3">
        <f t="shared" si="3"/>
        <v>46052</v>
      </c>
      <c r="B6" s="4">
        <f>IF(AND(Puntajes!F6=0,SUM(Puntajes!B6:F6)&gt;0),1,0)</f>
        <v>0</v>
      </c>
      <c r="C6" s="6" t="str">
        <f t="shared" si="1"/>
        <v>https://www.nytimes.com/interactive/2026/01/30/upshot/flashback.html</v>
      </c>
      <c r="D6" s="4" t="str">
        <f t="shared" si="2"/>
        <v/>
      </c>
    </row>
    <row r="7">
      <c r="A7" s="3">
        <f t="shared" si="3"/>
        <v>46059</v>
      </c>
      <c r="B7" s="4">
        <f>IF(AND(Puntajes!F7=0,SUM(Puntajes!B7:F7)&gt;0),1,0)</f>
        <v>0</v>
      </c>
      <c r="C7" s="6" t="str">
        <f t="shared" si="1"/>
        <v>https://www.nytimes.com/interactive/2026/02/06/upshot/flashback.html</v>
      </c>
      <c r="D7" s="4" t="str">
        <f t="shared" si="2"/>
        <v/>
      </c>
    </row>
    <row r="8">
      <c r="A8" s="3">
        <f t="shared" si="3"/>
        <v>46066</v>
      </c>
      <c r="B8" s="4">
        <f>IF(AND(Puntajes!F8=0,SUM(Puntajes!B8:F8)&gt;0),1,0)</f>
        <v>0</v>
      </c>
      <c r="C8" s="6" t="str">
        <f t="shared" si="1"/>
        <v>https://www.nytimes.com/interactive/2026/02/13/upshot/flashback.html</v>
      </c>
      <c r="D8" s="4" t="str">
        <f t="shared" si="2"/>
        <v/>
      </c>
    </row>
    <row r="9">
      <c r="A9" s="3">
        <f t="shared" si="3"/>
        <v>46073</v>
      </c>
      <c r="B9" s="4">
        <f>IF(AND(Puntajes!F9=0,SUM(Puntajes!B9:F9)&gt;0),1,0)</f>
        <v>0</v>
      </c>
      <c r="C9" s="6" t="str">
        <f t="shared" si="1"/>
        <v>https://www.nytimes.com/interactive/2026/02/20/upshot/flashback.html</v>
      </c>
      <c r="D9" s="4" t="str">
        <f t="shared" si="2"/>
        <v/>
      </c>
    </row>
    <row r="10">
      <c r="A10" s="3">
        <f t="shared" si="3"/>
        <v>46080</v>
      </c>
      <c r="B10" s="4">
        <f>IF(AND(Puntajes!F10=0,SUM(Puntajes!B10:F10)&gt;0),1,0)</f>
        <v>0</v>
      </c>
      <c r="C10" s="6" t="str">
        <f t="shared" si="1"/>
        <v>https://www.nytimes.com/interactive/2026/02/27/upshot/flashback.html</v>
      </c>
      <c r="D10" s="4" t="str">
        <f t="shared" si="2"/>
        <v/>
      </c>
    </row>
    <row r="11">
      <c r="A11" s="3">
        <f t="shared" si="3"/>
        <v>46087</v>
      </c>
      <c r="B11" s="4">
        <f>IF(AND(Puntajes!F11=0,SUM(Puntajes!B11:F11)&gt;0),1,0)</f>
        <v>0</v>
      </c>
      <c r="C11" s="6" t="str">
        <f t="shared" si="1"/>
        <v>https://www.nytimes.com/interactive/2026/03/06/upshot/flashback.html</v>
      </c>
      <c r="D11" s="4" t="str">
        <f t="shared" si="2"/>
        <v/>
      </c>
    </row>
    <row r="12">
      <c r="A12" s="3">
        <f t="shared" si="3"/>
        <v>46094</v>
      </c>
      <c r="B12" s="4">
        <f>IF(AND(Puntajes!F12=0,SUM(Puntajes!B12:F12)&gt;0),1,0)</f>
        <v>0</v>
      </c>
      <c r="C12" s="6" t="str">
        <f t="shared" si="1"/>
        <v>https://www.nytimes.com/interactive/2026/03/13/upshot/flashback.html</v>
      </c>
      <c r="D12" s="4" t="str">
        <f t="shared" si="2"/>
        <v/>
      </c>
    </row>
    <row r="13">
      <c r="A13" s="3">
        <f t="shared" si="3"/>
        <v>46101</v>
      </c>
      <c r="B13" s="4">
        <f>IF(AND(Puntajes!F13=0,SUM(Puntajes!B13:F13)&gt;0),1,0)</f>
        <v>0</v>
      </c>
      <c r="C13" s="6" t="str">
        <f t="shared" si="1"/>
        <v>https://www.nytimes.com/interactive/2026/03/20/upshot/flashback.html</v>
      </c>
      <c r="D13" s="4" t="str">
        <f t="shared" si="2"/>
        <v/>
      </c>
    </row>
    <row r="14">
      <c r="A14" s="3">
        <f t="shared" si="3"/>
        <v>46108</v>
      </c>
      <c r="B14" s="4">
        <f>IF(AND(Puntajes!F14=0,SUM(Puntajes!B14:F14)&gt;0),1,0)</f>
        <v>0</v>
      </c>
      <c r="C14" s="6" t="str">
        <f t="shared" si="1"/>
        <v>https://www.nytimes.com/interactive/2026/03/27/upshot/flashback.html</v>
      </c>
      <c r="D14" s="4" t="str">
        <f t="shared" si="2"/>
        <v/>
      </c>
    </row>
    <row r="15">
      <c r="A15" s="3">
        <f t="shared" si="3"/>
        <v>46115</v>
      </c>
      <c r="B15" s="4">
        <f>IF(AND(Puntajes!F15=0,SUM(Puntajes!B15:F15)&gt;0),1,0)</f>
        <v>0</v>
      </c>
      <c r="C15" s="6" t="str">
        <f t="shared" si="1"/>
        <v>https://www.nytimes.com/interactive/2026/04/03/upshot/flashback.html</v>
      </c>
      <c r="D15" s="4" t="str">
        <f t="shared" si="2"/>
        <v/>
      </c>
    </row>
    <row r="16">
      <c r="A16" s="3">
        <f t="shared" si="3"/>
        <v>46122</v>
      </c>
      <c r="B16" s="4">
        <f>IF(AND(Puntajes!F16=0,SUM(Puntajes!B16:F16)&gt;0),1,0)</f>
        <v>0</v>
      </c>
      <c r="C16" s="6" t="str">
        <f t="shared" si="1"/>
        <v>https://www.nytimes.com/interactive/2026/04/10/upshot/flashback.html</v>
      </c>
      <c r="D16" s="4" t="str">
        <f t="shared" si="2"/>
        <v/>
      </c>
    </row>
    <row r="17">
      <c r="A17" s="3">
        <f t="shared" si="3"/>
        <v>46129</v>
      </c>
      <c r="B17" s="4">
        <f>IF(AND(Puntajes!F17=0,SUM(Puntajes!B17:F17)&gt;0),1,0)</f>
        <v>1</v>
      </c>
      <c r="C17" s="6" t="str">
        <f t="shared" si="1"/>
        <v>https://www.nytimes.com/interactive/2026/04/17/upshot/flashback.html</v>
      </c>
      <c r="D17" s="6" t="str">
        <f t="shared" si="2"/>
        <v>https://www.nytimes.com/interactive/2026/04/17/upshot/flashback.html</v>
      </c>
    </row>
    <row r="18">
      <c r="A18" s="3">
        <f t="shared" si="3"/>
        <v>46136</v>
      </c>
      <c r="B18" s="4">
        <f>IF(AND(Puntajes!F18=0,SUM(Puntajes!B18:F18)&gt;0),1,0)</f>
        <v>1</v>
      </c>
      <c r="C18" s="6" t="str">
        <f t="shared" si="1"/>
        <v>https://www.nytimes.com/interactive/2026/04/24/upshot/flashback.html</v>
      </c>
      <c r="D18" s="6" t="str">
        <f t="shared" si="2"/>
        <v>https://www.nytimes.com/interactive/2026/04/24/upshot/flashback.html</v>
      </c>
    </row>
    <row r="19">
      <c r="A19" s="3">
        <f t="shared" si="3"/>
        <v>46143</v>
      </c>
      <c r="B19" s="4">
        <f>IF(AND(Puntajes!F19=0,SUM(Puntajes!B19:F19)&gt;0),1,0)</f>
        <v>1</v>
      </c>
      <c r="C19" s="6" t="str">
        <f t="shared" si="1"/>
        <v>https://www.nytimes.com/interactive/2026/05/01/upshot/flashback.html</v>
      </c>
      <c r="D19" s="6" t="str">
        <f t="shared" si="2"/>
        <v>https://www.nytimes.com/interactive/2026/05/01/upshot/flashback.html</v>
      </c>
    </row>
    <row r="20">
      <c r="A20" s="3">
        <f t="shared" si="3"/>
        <v>46150</v>
      </c>
      <c r="B20" s="4">
        <f>IF(AND(Puntajes!F20=0,SUM(Puntajes!B20:F20)&gt;0),1,0)</f>
        <v>0</v>
      </c>
      <c r="C20" s="6" t="str">
        <f t="shared" si="1"/>
        <v>https://www.nytimes.com/interactive/2026/05/08/upshot/flashback.html</v>
      </c>
      <c r="D20" s="4" t="str">
        <f t="shared" si="2"/>
        <v/>
      </c>
    </row>
    <row r="21">
      <c r="A21" s="3">
        <f t="shared" si="3"/>
        <v>46157</v>
      </c>
      <c r="B21" s="4">
        <f>IF(AND(Puntajes!F21=0,SUM(Puntajes!B21:F21)&gt;0),1,0)</f>
        <v>1</v>
      </c>
      <c r="C21" s="6" t="str">
        <f t="shared" si="1"/>
        <v>https://www.nytimes.com/interactive/2026/05/15/upshot/flashback.html</v>
      </c>
      <c r="D21" s="6" t="str">
        <f t="shared" si="2"/>
        <v>https://www.nytimes.com/interactive/2026/05/15/upshot/flashback.html</v>
      </c>
    </row>
    <row r="22">
      <c r="A22" s="3">
        <f t="shared" si="3"/>
        <v>46164</v>
      </c>
      <c r="B22" s="4">
        <f>IF(AND(Puntajes!F22=0,SUM(Puntajes!B22:F22)&gt;0),1,0)</f>
        <v>1</v>
      </c>
      <c r="C22" s="6" t="str">
        <f t="shared" si="1"/>
        <v>https://www.nytimes.com/interactive/2026/05/22/upshot/flashback.html</v>
      </c>
      <c r="D22" s="6" t="str">
        <f t="shared" si="2"/>
        <v>https://www.nytimes.com/interactive/2026/05/22/upshot/flashback.html</v>
      </c>
    </row>
    <row r="23">
      <c r="A23" s="3">
        <f t="shared" si="3"/>
        <v>46171</v>
      </c>
      <c r="B23" s="4">
        <f>IF(AND(Puntajes!F23=0,SUM(Puntajes!B23:F23)&gt;0),1,0)</f>
        <v>0</v>
      </c>
      <c r="C23" s="6" t="str">
        <f t="shared" si="1"/>
        <v>https://www.nytimes.com/interactive/2026/05/29/upshot/flashback.html</v>
      </c>
      <c r="D23" s="4" t="str">
        <f t="shared" si="2"/>
        <v/>
      </c>
    </row>
    <row r="24">
      <c r="A24" s="3">
        <f t="shared" si="3"/>
        <v>46178</v>
      </c>
      <c r="B24" s="4">
        <f>IF(AND(Puntajes!F24=0,SUM(Puntajes!B24:F24)&gt;0),1,0)</f>
        <v>0</v>
      </c>
      <c r="C24" s="6" t="str">
        <f t="shared" si="1"/>
        <v>https://www.nytimes.com/interactive/2026/06/05/upshot/flashback.html</v>
      </c>
      <c r="D24" s="4" t="str">
        <f t="shared" si="2"/>
        <v/>
      </c>
    </row>
    <row r="25">
      <c r="A25" s="3">
        <f t="shared" si="3"/>
        <v>46185</v>
      </c>
      <c r="B25" s="4">
        <f>IF(AND(Puntajes!F25=0,SUM(Puntajes!B25:F25)&gt;0),1,0)</f>
        <v>1</v>
      </c>
      <c r="C25" s="6" t="str">
        <f t="shared" si="1"/>
        <v>https://www.nytimes.com/interactive/2026/06/12/upshot/flashback.html</v>
      </c>
      <c r="D25" s="6" t="str">
        <f t="shared" si="2"/>
        <v>https://www.nytimes.com/interactive/2026/06/12/upshot/flashback.html</v>
      </c>
    </row>
    <row r="26">
      <c r="A26" s="3">
        <f t="shared" si="3"/>
        <v>46192</v>
      </c>
      <c r="B26" s="4">
        <f>IF(AND(Puntajes!F26=0,SUM(Puntajes!B26:F26)&gt;0),1,0)</f>
        <v>1</v>
      </c>
      <c r="C26" s="6" t="str">
        <f t="shared" si="1"/>
        <v>https://www.nytimes.com/interactive/2026/06/19/upshot/flashback.html</v>
      </c>
      <c r="D26" s="6" t="str">
        <f t="shared" si="2"/>
        <v>https://www.nytimes.com/interactive/2026/06/19/upshot/flashback.html</v>
      </c>
    </row>
    <row r="27">
      <c r="A27" s="3">
        <f t="shared" si="3"/>
        <v>46199</v>
      </c>
      <c r="B27" s="4">
        <f>IF(AND(Puntajes!F27=0,SUM(Puntajes!B27:F27)&gt;0),1,0)</f>
        <v>0</v>
      </c>
      <c r="C27" s="6" t="str">
        <f t="shared" si="1"/>
        <v>https://www.nytimes.com/interactive/2026/06/26/upshot/flashback.html</v>
      </c>
      <c r="D27" s="4" t="str">
        <f t="shared" si="2"/>
        <v/>
      </c>
    </row>
    <row r="28">
      <c r="A28" s="3">
        <f t="shared" si="3"/>
        <v>46206</v>
      </c>
      <c r="B28" s="4">
        <f>IF(AND(Puntajes!F28=0,SUM(Puntajes!B28:F28)&gt;0),1,0)</f>
        <v>0</v>
      </c>
      <c r="C28" s="6" t="str">
        <f t="shared" si="1"/>
        <v>https://www.nytimes.com/interactive/2026/07/03/upshot/flashback.html</v>
      </c>
      <c r="D28" s="4" t="str">
        <f t="shared" si="2"/>
        <v/>
      </c>
    </row>
    <row r="29">
      <c r="A29" s="3">
        <f t="shared" si="3"/>
        <v>46213</v>
      </c>
      <c r="B29" s="4">
        <f>IF(AND(Puntajes!F29=0,SUM(Puntajes!B29:F29)&gt;0),1,0)</f>
        <v>1</v>
      </c>
      <c r="C29" s="6" t="str">
        <f t="shared" si="1"/>
        <v>https://www.nytimes.com/interactive/2026/07/10/upshot/flashback.html</v>
      </c>
      <c r="D29" s="6" t="str">
        <f t="shared" si="2"/>
        <v>https://www.nytimes.com/interactive/2026/07/10/upshot/flashback.html</v>
      </c>
    </row>
    <row r="30">
      <c r="A30" s="3">
        <f t="shared" si="3"/>
        <v>46220</v>
      </c>
      <c r="B30" s="4">
        <f>IF(AND(Puntajes!F30=0,SUM(Puntajes!B30:F30)&gt;0),1,0)</f>
        <v>0</v>
      </c>
      <c r="C30" s="6" t="str">
        <f t="shared" si="1"/>
        <v>https://www.nytimes.com/interactive/2026/07/17/upshot/flashback.html</v>
      </c>
      <c r="D30" s="4" t="str">
        <f t="shared" si="2"/>
        <v/>
      </c>
    </row>
    <row r="31">
      <c r="A31" s="3">
        <f t="shared" si="3"/>
        <v>46227</v>
      </c>
      <c r="B31" s="4">
        <f>IF(AND(Puntajes!F31=0,SUM(Puntajes!B31:F31)&gt;0),1,0)</f>
        <v>0</v>
      </c>
      <c r="C31" s="6" t="str">
        <f t="shared" si="1"/>
        <v>https://www.nytimes.com/interactive/2026/07/24/upshot/flashback.html</v>
      </c>
      <c r="D31" s="4" t="str">
        <f t="shared" si="2"/>
        <v/>
      </c>
    </row>
    <row r="32">
      <c r="A32" s="3">
        <f t="shared" si="3"/>
        <v>46234</v>
      </c>
      <c r="B32" s="4">
        <f>IF(AND(Puntajes!F32=0,SUM(Puntajes!B32:F32)&gt;0),1,0)</f>
        <v>0</v>
      </c>
      <c r="C32" s="6" t="str">
        <f t="shared" si="1"/>
        <v>https://www.nytimes.com/interactive/2026/07/31/upshot/flashback.html</v>
      </c>
      <c r="D32" s="4" t="str">
        <f t="shared" si="2"/>
        <v/>
      </c>
    </row>
    <row r="33">
      <c r="A33" s="3">
        <f t="shared" si="3"/>
        <v>46241</v>
      </c>
      <c r="B33" s="4">
        <f>IF(AND(Puntajes!F33=0,SUM(Puntajes!B33:F33)&gt;0),1,0)</f>
        <v>0</v>
      </c>
      <c r="C33" s="6" t="str">
        <f t="shared" si="1"/>
        <v>https://www.nytimes.com/interactive/2026/08/07/upshot/flashback.html</v>
      </c>
      <c r="D33" s="4" t="str">
        <f t="shared" si="2"/>
        <v/>
      </c>
    </row>
    <row r="34">
      <c r="A34" s="3">
        <f t="shared" si="3"/>
        <v>46248</v>
      </c>
      <c r="B34" s="4">
        <f>IF(AND(Puntajes!F34=0,SUM(Puntajes!B34:F34)&gt;0),1,0)</f>
        <v>0</v>
      </c>
      <c r="C34" s="6" t="str">
        <f t="shared" si="1"/>
        <v>https://www.nytimes.com/interactive/2026/08/14/upshot/flashback.html</v>
      </c>
      <c r="D34" s="4" t="str">
        <f t="shared" si="2"/>
        <v/>
      </c>
    </row>
    <row r="35">
      <c r="A35" s="3">
        <f t="shared" si="3"/>
        <v>46255</v>
      </c>
      <c r="B35" s="4">
        <f>IF(AND(Puntajes!F35=0,SUM(Puntajes!B35:F35)&gt;0),1,0)</f>
        <v>1</v>
      </c>
      <c r="C35" s="6" t="str">
        <f t="shared" si="1"/>
        <v>https://www.nytimes.com/interactive/2026/08/21/upshot/flashback.html</v>
      </c>
      <c r="D35" s="6" t="str">
        <f t="shared" si="2"/>
        <v>https://www.nytimes.com/interactive/2026/08/21/upshot/flashback.html</v>
      </c>
    </row>
    <row r="36">
      <c r="A36" s="3">
        <f t="shared" si="3"/>
        <v>46262</v>
      </c>
      <c r="B36" s="4">
        <f>IF(AND(Puntajes!F36=0,SUM(Puntajes!B36:F36)&gt;0),1,0)</f>
        <v>0</v>
      </c>
      <c r="C36" s="6" t="str">
        <f t="shared" si="1"/>
        <v>https://www.nytimes.com/interactive/2026/08/28/upshot/flashback.html</v>
      </c>
      <c r="D36" s="4" t="str">
        <f t="shared" si="2"/>
        <v/>
      </c>
    </row>
    <row r="37">
      <c r="A37" s="3">
        <f t="shared" si="3"/>
        <v>46269</v>
      </c>
      <c r="B37" s="4">
        <f>IF(AND(Puntajes!F37=0,SUM(Puntajes!B37:F37)&gt;0),1,0)</f>
        <v>0</v>
      </c>
      <c r="C37" s="6" t="str">
        <f t="shared" si="1"/>
        <v>https://www.nytimes.com/interactive/2026/09/04/upshot/flashback.html</v>
      </c>
      <c r="D37" s="4" t="str">
        <f t="shared" si="2"/>
        <v/>
      </c>
    </row>
    <row r="38">
      <c r="A38" s="3">
        <f t="shared" si="3"/>
        <v>46276</v>
      </c>
      <c r="B38" s="4">
        <f>IF(AND(Puntajes!F38=0,SUM(Puntajes!B38:F38)&gt;0),1,0)</f>
        <v>0</v>
      </c>
      <c r="C38" s="6" t="str">
        <f t="shared" si="1"/>
        <v>https://www.nytimes.com/interactive/2026/09/11/upshot/flashback.html</v>
      </c>
      <c r="D38" s="4" t="str">
        <f t="shared" si="2"/>
        <v/>
      </c>
    </row>
    <row r="39">
      <c r="A39" s="3">
        <f t="shared" si="3"/>
        <v>46283</v>
      </c>
      <c r="B39" s="4">
        <f>IF(AND(Puntajes!F39=0,SUM(Puntajes!B39:F39)&gt;0),1,0)</f>
        <v>0</v>
      </c>
      <c r="C39" s="6" t="str">
        <f t="shared" si="1"/>
        <v>https://www.nytimes.com/interactive/2026/09/18/upshot/flashback.html</v>
      </c>
      <c r="D39" s="4" t="str">
        <f t="shared" si="2"/>
        <v/>
      </c>
    </row>
    <row r="40">
      <c r="A40" s="3">
        <f t="shared" si="3"/>
        <v>46290</v>
      </c>
      <c r="B40" s="4">
        <f>IF(AND(Puntajes!F40=0,SUM(Puntajes!B40:F40)&gt;0),1,0)</f>
        <v>0</v>
      </c>
      <c r="C40" s="6" t="str">
        <f t="shared" si="1"/>
        <v>https://www.nytimes.com/interactive/2026/09/25/upshot/flashback.html</v>
      </c>
      <c r="D40" s="4" t="str">
        <f t="shared" si="2"/>
        <v/>
      </c>
    </row>
    <row r="41">
      <c r="A41" s="3">
        <f t="shared" si="3"/>
        <v>46297</v>
      </c>
      <c r="B41" s="4">
        <f>IF(AND(Puntajes!F41=0,SUM(Puntajes!B41:F41)&gt;0),1,0)</f>
        <v>0</v>
      </c>
      <c r="C41" s="6" t="str">
        <f t="shared" si="1"/>
        <v>https://www.nytimes.com/interactive/2026/10/02/upshot/flashback.html</v>
      </c>
      <c r="D41" s="4" t="str">
        <f t="shared" si="2"/>
        <v/>
      </c>
    </row>
    <row r="42">
      <c r="A42" s="3">
        <f t="shared" si="3"/>
        <v>46304</v>
      </c>
      <c r="B42" s="4">
        <f>IF(AND(Puntajes!F42=0,SUM(Puntajes!B42:F42)&gt;0),1,0)</f>
        <v>0</v>
      </c>
      <c r="C42" s="6" t="str">
        <f t="shared" si="1"/>
        <v>https://www.nytimes.com/interactive/2026/10/09/upshot/flashback.html</v>
      </c>
      <c r="D42" s="4" t="str">
        <f t="shared" si="2"/>
        <v/>
      </c>
    </row>
    <row r="43">
      <c r="A43" s="3">
        <f t="shared" si="3"/>
        <v>46311</v>
      </c>
      <c r="B43" s="4">
        <f>IF(AND(Puntajes!F43=0,SUM(Puntajes!B43:F43)&gt;0),1,0)</f>
        <v>0</v>
      </c>
      <c r="C43" s="6" t="str">
        <f t="shared" si="1"/>
        <v>https://www.nytimes.com/interactive/2026/10/16/upshot/flashback.html</v>
      </c>
      <c r="D43" s="4" t="str">
        <f t="shared" si="2"/>
        <v/>
      </c>
    </row>
    <row r="44">
      <c r="A44" s="3">
        <f t="shared" si="3"/>
        <v>46318</v>
      </c>
      <c r="B44" s="4">
        <f>IF(AND(Puntajes!F44=0,SUM(Puntajes!B44:F44)&gt;0),1,0)</f>
        <v>0</v>
      </c>
      <c r="C44" s="6" t="str">
        <f t="shared" si="1"/>
        <v>https://www.nytimes.com/interactive/2026/10/23/upshot/flashback.html</v>
      </c>
      <c r="D44" s="4" t="str">
        <f t="shared" si="2"/>
        <v/>
      </c>
    </row>
    <row r="45">
      <c r="A45" s="3">
        <f t="shared" si="3"/>
        <v>46325</v>
      </c>
      <c r="B45" s="4">
        <f>IF(AND(Puntajes!F45=0,SUM(Puntajes!B45:F45)&gt;0),1,0)</f>
        <v>0</v>
      </c>
      <c r="C45" s="6" t="str">
        <f t="shared" si="1"/>
        <v>https://www.nytimes.com/interactive/2026/10/30/upshot/flashback.html</v>
      </c>
      <c r="D45" s="4" t="str">
        <f t="shared" si="2"/>
        <v/>
      </c>
    </row>
    <row r="46">
      <c r="A46" s="3">
        <f t="shared" si="3"/>
        <v>46332</v>
      </c>
      <c r="B46" s="4">
        <f>IF(AND(Puntajes!F46=0,SUM(Puntajes!B46:F46)&gt;0),1,0)</f>
        <v>0</v>
      </c>
      <c r="C46" s="6" t="str">
        <f t="shared" si="1"/>
        <v>https://www.nytimes.com/interactive/2026/11/06/upshot/flashback.html</v>
      </c>
      <c r="D46" s="4" t="str">
        <f t="shared" si="2"/>
        <v/>
      </c>
    </row>
    <row r="47">
      <c r="A47" s="3">
        <f t="shared" si="3"/>
        <v>46339</v>
      </c>
      <c r="B47" s="4">
        <f>IF(AND(Puntajes!F47=0,SUM(Puntajes!B47:F47)&gt;0),1,0)</f>
        <v>0</v>
      </c>
      <c r="C47" s="6" t="str">
        <f t="shared" si="1"/>
        <v>https://www.nytimes.com/interactive/2026/11/13/upshot/flashback.html</v>
      </c>
      <c r="D47" s="4" t="str">
        <f t="shared" si="2"/>
        <v/>
      </c>
    </row>
    <row r="48">
      <c r="A48" s="3">
        <f t="shared" si="3"/>
        <v>46346</v>
      </c>
      <c r="B48" s="4">
        <f>IF(AND(Puntajes!F48=0,SUM(Puntajes!B48:F48)&gt;0),1,0)</f>
        <v>0</v>
      </c>
      <c r="C48" s="6" t="str">
        <f t="shared" si="1"/>
        <v>https://www.nytimes.com/interactive/2026/11/20/upshot/flashback.html</v>
      </c>
      <c r="D48" s="4" t="str">
        <f t="shared" si="2"/>
        <v/>
      </c>
    </row>
    <row r="49">
      <c r="A49" s="3">
        <f t="shared" si="3"/>
        <v>46353</v>
      </c>
      <c r="B49" s="4">
        <f>IF(AND(Puntajes!F49=0,SUM(Puntajes!B49:F49)&gt;0),1,0)</f>
        <v>0</v>
      </c>
      <c r="C49" s="6" t="str">
        <f t="shared" si="1"/>
        <v>https://www.nytimes.com/interactive/2026/11/27/upshot/flashback.html</v>
      </c>
      <c r="D49" s="4" t="str">
        <f t="shared" si="2"/>
        <v/>
      </c>
    </row>
    <row r="50">
      <c r="A50" s="3">
        <f t="shared" si="3"/>
        <v>46360</v>
      </c>
      <c r="B50" s="4">
        <f>IF(AND(Puntajes!F50=0,SUM(Puntajes!B50:F50)&gt;0),1,0)</f>
        <v>0</v>
      </c>
      <c r="C50" s="6" t="str">
        <f t="shared" si="1"/>
        <v>https://www.nytimes.com/interactive/2026/12/04/upshot/flashback.html</v>
      </c>
      <c r="D50" s="4" t="str">
        <f t="shared" si="2"/>
        <v/>
      </c>
    </row>
    <row r="51">
      <c r="A51" s="3">
        <f t="shared" si="3"/>
        <v>46367</v>
      </c>
      <c r="B51" s="4">
        <f>IF(AND(Puntajes!F51=0,SUM(Puntajes!B51:F51)&gt;0),1,0)</f>
        <v>0</v>
      </c>
      <c r="C51" s="6" t="str">
        <f t="shared" si="1"/>
        <v>https://www.nytimes.com/interactive/2026/12/11/upshot/flashback.html</v>
      </c>
      <c r="D51" s="4" t="str">
        <f t="shared" si="2"/>
        <v/>
      </c>
    </row>
    <row r="52">
      <c r="A52" s="3">
        <f t="shared" si="3"/>
        <v>46374</v>
      </c>
      <c r="B52" s="4">
        <f>IF(AND(Puntajes!F52=0,SUM(Puntajes!B52:F52)&gt;0),1,0)</f>
        <v>0</v>
      </c>
      <c r="C52" s="6" t="str">
        <f t="shared" si="1"/>
        <v>https://www.nytimes.com/interactive/2026/12/18/upshot/flashback.html</v>
      </c>
      <c r="D52" s="4" t="str">
        <f t="shared" si="2"/>
        <v/>
      </c>
    </row>
    <row r="53">
      <c r="A53" s="3">
        <f t="shared" si="3"/>
        <v>46381</v>
      </c>
      <c r="B53" s="4">
        <f>IF(AND(Puntajes!F53=0,SUM(Puntajes!B53:F53)&gt;0),1,0)</f>
        <v>0</v>
      </c>
      <c r="C53" s="6" t="str">
        <f t="shared" si="1"/>
        <v>https://www.nytimes.com/interactive/2026/12/25/upshot/flashback.html</v>
      </c>
      <c r="D53" s="4" t="str">
        <f t="shared" si="2"/>
        <v/>
      </c>
    </row>
  </sheetData>
  <drawing r:id="rId1"/>
</worksheet>
</file>